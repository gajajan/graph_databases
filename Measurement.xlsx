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jaj\Desktop\School\Bachelor\graph_databases\"/>
    </mc:Choice>
  </mc:AlternateContent>
  <xr:revisionPtr revIDLastSave="0" documentId="13_ncr:1_{00636F2F-3E27-441A-BB74-2ECF7B9FBB6A}" xr6:coauthVersionLast="47" xr6:coauthVersionMax="47" xr10:uidLastSave="{00000000-0000-0000-0000-000000000000}"/>
  <bookViews>
    <workbookView xWindow="-120" yWindow="-120" windowWidth="29040" windowHeight="15720" xr2:uid="{3EE48DE2-4E6F-4460-AB34-FCF8C4BDCFE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" i="1" l="1"/>
  <c r="E4" i="1" s="1"/>
  <c r="L27" i="1"/>
  <c r="E3" i="1" s="1"/>
  <c r="L26" i="1"/>
  <c r="E2" i="1" s="1"/>
  <c r="L22" i="1"/>
  <c r="D4" i="1" s="1"/>
  <c r="L21" i="1"/>
  <c r="D3" i="1" s="1"/>
  <c r="L20" i="1"/>
  <c r="D2" i="1" s="1"/>
  <c r="L16" i="1"/>
  <c r="C4" i="1" s="1"/>
  <c r="L15" i="1"/>
  <c r="C3" i="1" s="1"/>
  <c r="L14" i="1"/>
  <c r="C2" i="1" s="1"/>
  <c r="L10" i="1"/>
  <c r="B4" i="1" s="1"/>
  <c r="L9" i="1"/>
  <c r="B3" i="1" s="1"/>
  <c r="L8" i="1"/>
  <c r="B2" i="1" s="1"/>
  <c r="L60" i="1" l="1"/>
  <c r="L61" i="1"/>
  <c r="L62" i="1"/>
  <c r="L63" i="1"/>
  <c r="L70" i="1"/>
  <c r="L69" i="1"/>
  <c r="L68" i="1"/>
  <c r="L67" i="1"/>
  <c r="L55" i="1"/>
  <c r="L49" i="1"/>
  <c r="L48" i="1"/>
  <c r="L41" i="1"/>
  <c r="L35" i="1"/>
  <c r="L34" i="1"/>
  <c r="L53" i="1"/>
  <c r="L47" i="1"/>
  <c r="L46" i="1"/>
  <c r="L32" i="1"/>
  <c r="L54" i="1"/>
  <c r="L40" i="1"/>
  <c r="L39" i="1"/>
  <c r="L33" i="1"/>
  <c r="L56" i="1"/>
  <c r="L42" i="1"/>
</calcChain>
</file>

<file path=xl/sharedStrings.xml><?xml version="1.0" encoding="utf-8"?>
<sst xmlns="http://schemas.openxmlformats.org/spreadsheetml/2006/main" count="99" uniqueCount="33">
  <si>
    <t>Neo4j</t>
  </si>
  <si>
    <t>ArangoDB</t>
  </si>
  <si>
    <t>OrientDB</t>
  </si>
  <si>
    <t>Cypher</t>
  </si>
  <si>
    <t>AQL</t>
  </si>
  <si>
    <t>Gremlin</t>
  </si>
  <si>
    <t>SQL - OrientDB</t>
  </si>
  <si>
    <t>Q1</t>
  </si>
  <si>
    <t>AVG</t>
  </si>
  <si>
    <t>Pokus</t>
  </si>
  <si>
    <t>Q2</t>
  </si>
  <si>
    <t>Q3</t>
  </si>
  <si>
    <t>Q4</t>
  </si>
  <si>
    <t>insert V</t>
  </si>
  <si>
    <t>insert E</t>
  </si>
  <si>
    <t>delete V</t>
  </si>
  <si>
    <t>delete E</t>
  </si>
  <si>
    <t>výsledek</t>
  </si>
  <si>
    <t>spočítá všechny sousedy vrcholu s id 1 do hloubky 2</t>
  </si>
  <si>
    <t>spočítá všechny sousedy  vrcholu s id 1 do hloubky 3</t>
  </si>
  <si>
    <t>spočítá všechny sousedy vrcholu s id 1 do hloubky 4</t>
  </si>
  <si>
    <t>spočítá všechny sousedy vrcholu s id 1 do hloubky 5</t>
  </si>
  <si>
    <t>Q5</t>
  </si>
  <si>
    <t>Q6</t>
  </si>
  <si>
    <t>-</t>
  </si>
  <si>
    <t>[]</t>
  </si>
  <si>
    <t>najde nejkratší orientovanou cestu z vrcholu s id 12000 do vrcholu s id 1047, přičemž cesta neexistuje</t>
  </si>
  <si>
    <t>najde nejkratší neorientovanou cestu mezi dvěma vrcholy s id 12000 a 1047</t>
  </si>
  <si>
    <t>insert Vertices</t>
  </si>
  <si>
    <t>insert Edges</t>
  </si>
  <si>
    <t>delete Vertices</t>
  </si>
  <si>
    <t>delete Edges</t>
  </si>
  <si>
    <t>hran =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</si>
</sst>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D5D6D6"/>
      <name val="Segoe UI"/>
      <family val="2"/>
      <charset val="238"/>
    </font>
    <font>
      <sz val="11"/>
      <color rgb="FF333333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Neo4j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Sheet1!$B$1:$E$1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Sheet1!$B$2:$E$2</c:f>
              <c:numCache>
                <c:formatCode>General</c:formatCode>
                <c:ptCount val="4"/>
                <c:pt idx="0">
                  <c:v>26.324399999999997</c:v>
                </c:pt>
                <c:pt idx="1">
                  <c:v>133.3544</c:v>
                </c:pt>
                <c:pt idx="2">
                  <c:v>13.138799999999998</c:v>
                </c:pt>
                <c:pt idx="3">
                  <c:v>88.202000000000012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DD-41E0-99BA-4AE19DA0EA06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ArangoDB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Sheet1!$B$1:$E$1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Sheet1!$B$3:$E$3</c:f>
              <c:numCache>
                <c:formatCode>General</c:formatCode>
                <c:ptCount val="4"/>
                <c:pt idx="0">
                  <c:v>26.611700000000003</c:v>
                </c:pt>
                <c:pt idx="1">
                  <c:v>50.8934</c:v>
                </c:pt>
                <c:pt idx="2">
                  <c:v>35.071199999999997</c:v>
                </c:pt>
                <c:pt idx="3">
                  <c:v>167.40899999999996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DD-41E0-99BA-4AE19DA0EA06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OrientDB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Sheet1!$B$1:$E$1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Sheet1!$B$4:$E$4</c:f>
              <c:numCache>
                <c:formatCode>General</c:formatCode>
                <c:ptCount val="4"/>
                <c:pt idx="0">
                  <c:v>110.23260000000001</c:v>
                </c:pt>
                <c:pt idx="1">
                  <c:v>731.18219999999997</c:v>
                </c:pt>
                <c:pt idx="2">
                  <c:v>108.37280000000001</c:v>
                </c:pt>
                <c:pt idx="3">
                  <c:v>614.11620000000005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DD-41E0-99BA-4AE19DA0E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1099183"/>
        <c:axId val="879286847"/>
      </c:barChart>
      <c:catAx>
        <c:axId val="1101099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286847"/>
        <c:crosses val="autoZero"/>
        <c:auto val="1"/>
        <c:lblAlgn val="ctr"/>
        <c:lblOffset val="100"/>
        <c:noMultiLvlLbl val="0"/>
      </c:catAx>
      <c:valAx>
        <c:axId val="879286847"/>
        <c:scaling>
          <c:orientation val="minMax"/>
          <c:max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099183"/>
        <c:crosses val="autoZero"/>
        <c:crossBetween val="between"/>
        <c:majorUnit val="100"/>
        <c:min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Sheet1!$A$32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Sheet1!$B$31:$L$31</c15:sqref>
                  </c15:fullRef>
                </c:ext>
              </c:extLst>
              <c:f>Sheet1!$B$31:$K$31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Sheet1!$B$32:$L$32</c15:sqref>
                  </c15:fullRef>
                </c:ext>
              </c:extLst>
              <c:f>Sheet1!$B$32:$K$32</c:f>
              <c:numCache>
                <c:formatCode>General</c:formatCode>
                <c:ptCount val="10"/>
                <c:pt idx="0">
                  <c:v>5.0000000000000001E-3</c:v>
                </c:pt>
                <c:pt idx="1">
                  <c:v>6.0000000000000001E-3</c:v>
                </c:pt>
                <c:pt idx="2">
                  <c:v>6.0000000000000001E-3</c:v>
                </c:pt>
                <c:pt idx="3">
                  <c:v>0.03</c:v>
                </c:pt>
                <c:pt idx="4">
                  <c:v>7.0000000000000001E-3</c:v>
                </c:pt>
                <c:pt idx="5">
                  <c:v>6.0000000000000001E-3</c:v>
                </c:pt>
                <c:pt idx="6">
                  <c:v>8.0000000000000002E-3</c:v>
                </c:pt>
                <c:pt idx="7">
                  <c:v>6.0000000000000001E-3</c:v>
                </c:pt>
                <c:pt idx="8">
                  <c:v>6.0000000000000001E-3</c:v>
                </c:pt>
                <c:pt idx="9">
                  <c:v>6.0000000000000001E-3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CD-4E4A-A294-058EA57618F0}"/>
            </c:ext>
          </c:extLst>
        </c:ser>
        <c:ser>
          <c:idx val="1"/>
          <c:order val="1"/>
          <c:tx>
            <c:strRef>
              <c:f>Sheet1!$A$33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Sheet1!$B$31:$L$31</c15:sqref>
                  </c15:fullRef>
                </c:ext>
              </c:extLst>
              <c:f>Sheet1!$B$31:$K$31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Sheet1!$B$33:$L$33</c15:sqref>
                  </c15:fullRef>
                </c:ext>
              </c:extLst>
              <c:f>Sheet1!$B$33:$K$33</c:f>
              <c:numCache>
                <c:formatCode>General</c:formatCode>
                <c:ptCount val="10"/>
                <c:pt idx="0">
                  <c:v>0.15</c:v>
                </c:pt>
                <c:pt idx="1">
                  <c:v>0.153</c:v>
                </c:pt>
                <c:pt idx="2">
                  <c:v>0.161</c:v>
                </c:pt>
                <c:pt idx="3">
                  <c:v>0.22</c:v>
                </c:pt>
                <c:pt idx="4">
                  <c:v>0.17699999999999999</c:v>
                </c:pt>
                <c:pt idx="5">
                  <c:v>0.218</c:v>
                </c:pt>
                <c:pt idx="6">
                  <c:v>0.17899999999999999</c:v>
                </c:pt>
                <c:pt idx="7">
                  <c:v>0.17199999999999999</c:v>
                </c:pt>
                <c:pt idx="8">
                  <c:v>0.17</c:v>
                </c:pt>
                <c:pt idx="9">
                  <c:v>0.14099999999999999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CD-4E4A-A294-058EA57618F0}"/>
            </c:ext>
          </c:extLst>
        </c:ser>
        <c:ser>
          <c:idx val="2"/>
          <c:order val="2"/>
          <c:tx>
            <c:strRef>
              <c:f>Sheet1!$A$34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Sheet1!$B$31:$L$31</c15:sqref>
                  </c15:fullRef>
                </c:ext>
              </c:extLst>
              <c:f>Sheet1!$B$31:$K$31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Sheet1!$B$34:$L$34</c15:sqref>
                  </c15:fullRef>
                </c:ext>
              </c:extLst>
              <c:f>Sheet1!$B$34:$K$34</c:f>
              <c:numCache>
                <c:formatCode>General</c:formatCode>
                <c:ptCount val="10"/>
                <c:pt idx="0">
                  <c:v>2.7E-2</c:v>
                </c:pt>
                <c:pt idx="1">
                  <c:v>0.02</c:v>
                </c:pt>
                <c:pt idx="2">
                  <c:v>3.1E-2</c:v>
                </c:pt>
                <c:pt idx="3">
                  <c:v>2.1000000000000001E-2</c:v>
                </c:pt>
                <c:pt idx="4">
                  <c:v>2.1000000000000001E-2</c:v>
                </c:pt>
                <c:pt idx="5">
                  <c:v>3.2000000000000001E-2</c:v>
                </c:pt>
                <c:pt idx="6">
                  <c:v>2.7E-2</c:v>
                </c:pt>
                <c:pt idx="7">
                  <c:v>2.1000000000000001E-2</c:v>
                </c:pt>
                <c:pt idx="8">
                  <c:v>2.1000000000000001E-2</c:v>
                </c:pt>
                <c:pt idx="9">
                  <c:v>2.1000000000000001E-2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CD-4E4A-A294-058EA57618F0}"/>
            </c:ext>
          </c:extLst>
        </c:ser>
        <c:ser>
          <c:idx val="3"/>
          <c:order val="3"/>
          <c:tx>
            <c:strRef>
              <c:f>Sheet1!$A$35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Sheet1!$B$31:$L$31</c15:sqref>
                  </c15:fullRef>
                </c:ext>
              </c:extLst>
              <c:f>Sheet1!$B$31:$K$31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Sheet1!$B$35:$L$35</c15:sqref>
                  </c15:fullRef>
                </c:ext>
              </c:extLst>
              <c:f>Sheet1!$B$35:$K$35</c:f>
              <c:numCache>
                <c:formatCode>General</c:formatCode>
                <c:ptCount val="10"/>
                <c:pt idx="0">
                  <c:v>0.16</c:v>
                </c:pt>
                <c:pt idx="1">
                  <c:v>0.182</c:v>
                </c:pt>
                <c:pt idx="2">
                  <c:v>0.17399999999999999</c:v>
                </c:pt>
                <c:pt idx="3">
                  <c:v>0.19600000000000001</c:v>
                </c:pt>
                <c:pt idx="4">
                  <c:v>0.19</c:v>
                </c:pt>
                <c:pt idx="5">
                  <c:v>0.18</c:v>
                </c:pt>
                <c:pt idx="6">
                  <c:v>0.191</c:v>
                </c:pt>
                <c:pt idx="7">
                  <c:v>0.16400000000000001</c:v>
                </c:pt>
                <c:pt idx="8">
                  <c:v>0.19700000000000001</c:v>
                </c:pt>
                <c:pt idx="9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CD-4E4A-A294-058EA5761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487775"/>
        <c:axId val="1089165247"/>
      </c:lineChart>
      <c:catAx>
        <c:axId val="1090487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165247"/>
        <c:crosses val="autoZero"/>
        <c:auto val="1"/>
        <c:lblAlgn val="ctr"/>
        <c:lblOffset val="100"/>
        <c:noMultiLvlLbl val="0"/>
      </c:catAx>
      <c:valAx>
        <c:axId val="108916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48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Sheet1!$A$39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Sheet1!$B$39:$K$39</c:f>
              <c:numCache>
                <c:formatCode>General</c:formatCode>
                <c:ptCount val="10"/>
                <c:pt idx="0">
                  <c:v>0.28799999999999998</c:v>
                </c:pt>
                <c:pt idx="1">
                  <c:v>0.247</c:v>
                </c:pt>
                <c:pt idx="2">
                  <c:v>0.24399999999999999</c:v>
                </c:pt>
                <c:pt idx="3">
                  <c:v>0.20599999999999999</c:v>
                </c:pt>
                <c:pt idx="4">
                  <c:v>0.23100000000000001</c:v>
                </c:pt>
                <c:pt idx="5">
                  <c:v>0.26</c:v>
                </c:pt>
                <c:pt idx="6">
                  <c:v>0.32700000000000001</c:v>
                </c:pt>
                <c:pt idx="7">
                  <c:v>0.24199999999999999</c:v>
                </c:pt>
                <c:pt idx="8">
                  <c:v>0.23200000000000001</c:v>
                </c:pt>
                <c:pt idx="9">
                  <c:v>0.23300000000000001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63-4D86-AB87-E84023D1D9B8}"/>
            </c:ext>
          </c:extLst>
        </c:ser>
        <c:ser>
          <c:idx val="2"/>
          <c:order val="2"/>
          <c:tx>
            <c:strRef>
              <c:f>Sheet1!$A$40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Sheet1!$B$40:$K$40</c:f>
              <c:numCache>
                <c:formatCode>General</c:formatCode>
                <c:ptCount val="10"/>
                <c:pt idx="0">
                  <c:v>9.6039999999999992</c:v>
                </c:pt>
                <c:pt idx="1">
                  <c:v>6.3339999999999996</c:v>
                </c:pt>
                <c:pt idx="2">
                  <c:v>6.1139999999999999</c:v>
                </c:pt>
                <c:pt idx="3">
                  <c:v>6.1120000000000001</c:v>
                </c:pt>
                <c:pt idx="4">
                  <c:v>6.2460000000000004</c:v>
                </c:pt>
                <c:pt idx="5">
                  <c:v>6.306</c:v>
                </c:pt>
                <c:pt idx="6">
                  <c:v>6.3019999999999996</c:v>
                </c:pt>
                <c:pt idx="7">
                  <c:v>12.12</c:v>
                </c:pt>
                <c:pt idx="8">
                  <c:v>5.859</c:v>
                </c:pt>
                <c:pt idx="9">
                  <c:v>5.6890000000000001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63-4D86-AB87-E84023D1D9B8}"/>
            </c:ext>
          </c:extLst>
        </c:ser>
        <c:ser>
          <c:idx val="3"/>
          <c:order val="3"/>
          <c:tx>
            <c:strRef>
              <c:f>Sheet1!$A$41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Sheet1!$B$41:$K$41</c:f>
              <c:numCache>
                <c:formatCode>General</c:formatCode>
                <c:ptCount val="10"/>
                <c:pt idx="0">
                  <c:v>3.1379999999999999</c:v>
                </c:pt>
                <c:pt idx="1">
                  <c:v>2.8980000000000001</c:v>
                </c:pt>
                <c:pt idx="2">
                  <c:v>3.0550000000000002</c:v>
                </c:pt>
                <c:pt idx="3">
                  <c:v>2.7280000000000002</c:v>
                </c:pt>
                <c:pt idx="4">
                  <c:v>5.3250000000000002</c:v>
                </c:pt>
                <c:pt idx="5">
                  <c:v>3.22</c:v>
                </c:pt>
                <c:pt idx="6">
                  <c:v>3.9620000000000002</c:v>
                </c:pt>
                <c:pt idx="7">
                  <c:v>3.7509999999999999</c:v>
                </c:pt>
                <c:pt idx="8">
                  <c:v>3.9319999999999999</c:v>
                </c:pt>
                <c:pt idx="9">
                  <c:v>3.8039999999999998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63-4D86-AB87-E84023D1D9B8}"/>
            </c:ext>
          </c:extLst>
        </c:ser>
        <c:ser>
          <c:idx val="4"/>
          <c:order val="4"/>
          <c:tx>
            <c:strRef>
              <c:f>Sheet1!$A$42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Sheet1!$B$42:$K$42</c:f>
              <c:numCache>
                <c:formatCode>General</c:formatCode>
                <c:ptCount val="10"/>
                <c:pt idx="0">
                  <c:v>6.2539999999999996</c:v>
                </c:pt>
                <c:pt idx="1">
                  <c:v>7.0019999999999998</c:v>
                </c:pt>
                <c:pt idx="2">
                  <c:v>6.9569999999999999</c:v>
                </c:pt>
                <c:pt idx="3">
                  <c:v>7.048</c:v>
                </c:pt>
                <c:pt idx="4">
                  <c:v>6.8529999999999998</c:v>
                </c:pt>
                <c:pt idx="5">
                  <c:v>7.1289999999999996</c:v>
                </c:pt>
                <c:pt idx="6">
                  <c:v>6.702</c:v>
                </c:pt>
                <c:pt idx="7">
                  <c:v>6.4059999999999997</c:v>
                </c:pt>
                <c:pt idx="8">
                  <c:v>6.6239999999999997</c:v>
                </c:pt>
                <c:pt idx="9">
                  <c:v>6.4660000000000002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63-4D86-AB87-E84023D1D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614431"/>
        <c:axId val="10885571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Sheet1!$A$38</c15:sqref>
                        </c15:formulaRef>
                      </c:ext>
                    </c:extLst>
                    <c:strCache>
                      <c:ptCount val="1"/>
                      <c:pt idx="0">
                        <c:v>Pokus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Sheet1!$B$38:$K$38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763-4D86-AB87-E84023D1D9B8}"/>
                  </c:ext>
                </c:extLst>
              </c15:ser>
            </c15:filteredLineSeries>
          </c:ext>
        </c:extLst>
      </c:lineChart>
      <c:catAx>
        <c:axId val="10906144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8557167"/>
        <c:crosses val="autoZero"/>
        <c:auto val="1"/>
        <c:lblAlgn val="ctr"/>
        <c:lblOffset val="100"/>
        <c:noMultiLvlLbl val="0"/>
      </c:catAx>
      <c:valAx>
        <c:axId val="108855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61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Sheet1!$A$46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Sheet1!$B$46:$K$46</c:f>
              <c:numCache>
                <c:formatCode>General</c:formatCode>
                <c:ptCount val="10"/>
                <c:pt idx="0">
                  <c:v>1.635</c:v>
                </c:pt>
                <c:pt idx="1">
                  <c:v>1.5609999999999999</c:v>
                </c:pt>
                <c:pt idx="2">
                  <c:v>1.593</c:v>
                </c:pt>
                <c:pt idx="3">
                  <c:v>1.5249999999999999</c:v>
                </c:pt>
                <c:pt idx="4">
                  <c:v>1.484</c:v>
                </c:pt>
                <c:pt idx="5">
                  <c:v>1.4910000000000001</c:v>
                </c:pt>
                <c:pt idx="6">
                  <c:v>1.4350000000000001</c:v>
                </c:pt>
                <c:pt idx="7">
                  <c:v>1.6739999999999999</c:v>
                </c:pt>
                <c:pt idx="8">
                  <c:v>1.552</c:v>
                </c:pt>
                <c:pt idx="9">
                  <c:v>1.57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9A-4DA0-BDF5-97F491217599}"/>
            </c:ext>
          </c:extLst>
        </c:ser>
        <c:ser>
          <c:idx val="2"/>
          <c:order val="2"/>
          <c:tx>
            <c:strRef>
              <c:f>Sheet1!$A$47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Sheet1!$B$47:$K$47</c:f>
              <c:numCache>
                <c:formatCode>General</c:formatCode>
                <c:ptCount val="10"/>
                <c:pt idx="0">
                  <c:v>50.73</c:v>
                </c:pt>
                <c:pt idx="1">
                  <c:v>25.795000000000002</c:v>
                </c:pt>
                <c:pt idx="2">
                  <c:v>33.256</c:v>
                </c:pt>
                <c:pt idx="3">
                  <c:v>24.081</c:v>
                </c:pt>
                <c:pt idx="4">
                  <c:v>24.37</c:v>
                </c:pt>
                <c:pt idx="5">
                  <c:v>26.594000000000001</c:v>
                </c:pt>
                <c:pt idx="6">
                  <c:v>24.925999999999998</c:v>
                </c:pt>
                <c:pt idx="7">
                  <c:v>24.792000000000002</c:v>
                </c:pt>
                <c:pt idx="8">
                  <c:v>23.780999999999999</c:v>
                </c:pt>
                <c:pt idx="9">
                  <c:v>25.387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9A-4DA0-BDF5-97F491217599}"/>
            </c:ext>
          </c:extLst>
        </c:ser>
        <c:ser>
          <c:idx val="3"/>
          <c:order val="3"/>
          <c:tx>
            <c:strRef>
              <c:f>Sheet1!$A$48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Sheet1!$B$48:$K$48</c:f>
              <c:numCache>
                <c:formatCode>General</c:formatCode>
                <c:ptCount val="10"/>
                <c:pt idx="0">
                  <c:v>33.542000000000002</c:v>
                </c:pt>
                <c:pt idx="1">
                  <c:v>34.146999999999998</c:v>
                </c:pt>
                <c:pt idx="2">
                  <c:v>34.21</c:v>
                </c:pt>
                <c:pt idx="3">
                  <c:v>33.317999999999998</c:v>
                </c:pt>
                <c:pt idx="4">
                  <c:v>35.713000000000001</c:v>
                </c:pt>
                <c:pt idx="5">
                  <c:v>36.479999999999997</c:v>
                </c:pt>
                <c:pt idx="6">
                  <c:v>33.959000000000003</c:v>
                </c:pt>
                <c:pt idx="7">
                  <c:v>33.459000000000003</c:v>
                </c:pt>
                <c:pt idx="8">
                  <c:v>34.555</c:v>
                </c:pt>
                <c:pt idx="9">
                  <c:v>34.398000000000003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9A-4DA0-BDF5-97F491217599}"/>
            </c:ext>
          </c:extLst>
        </c:ser>
        <c:ser>
          <c:idx val="4"/>
          <c:order val="4"/>
          <c:tx>
            <c:strRef>
              <c:f>Sheet1!$A$49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Sheet1!$B$49:$K$49</c:f>
              <c:numCache>
                <c:formatCode>General</c:formatCode>
                <c:ptCount val="10"/>
                <c:pt idx="0">
                  <c:v>50.683</c:v>
                </c:pt>
                <c:pt idx="1">
                  <c:v>53.917999999999999</c:v>
                </c:pt>
                <c:pt idx="2">
                  <c:v>51.317</c:v>
                </c:pt>
                <c:pt idx="3">
                  <c:v>50.415999999999997</c:v>
                </c:pt>
                <c:pt idx="4">
                  <c:v>50.917999999999999</c:v>
                </c:pt>
                <c:pt idx="5">
                  <c:v>50.692999999999998</c:v>
                </c:pt>
                <c:pt idx="6">
                  <c:v>50.76</c:v>
                </c:pt>
                <c:pt idx="7">
                  <c:v>50.936</c:v>
                </c:pt>
                <c:pt idx="8">
                  <c:v>50.365000000000002</c:v>
                </c:pt>
                <c:pt idx="9">
                  <c:v>52.921999999999997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B9A-4DA0-BDF5-97F491217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2455871"/>
        <c:axId val="114244775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Sheet1!$A$45</c15:sqref>
                        </c15:formulaRef>
                      </c:ext>
                    </c:extLst>
                    <c:strCache>
                      <c:ptCount val="1"/>
                      <c:pt idx="0">
                        <c:v>Pokus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Sheet1!$B$45:$K$45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B9A-4DA0-BDF5-97F491217599}"/>
                  </c:ext>
                </c:extLst>
              </c15:ser>
            </c15:filteredLineSeries>
          </c:ext>
        </c:extLst>
      </c:lineChart>
      <c:catAx>
        <c:axId val="1142455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447759"/>
        <c:crosses val="autoZero"/>
        <c:auto val="1"/>
        <c:lblAlgn val="ctr"/>
        <c:lblOffset val="100"/>
        <c:noMultiLvlLbl val="0"/>
      </c:catAx>
      <c:valAx>
        <c:axId val="114244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455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Sheet1!$A$53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Sheet1!$B$53:$K$53</c:f>
              <c:numCache>
                <c:formatCode>General</c:formatCode>
                <c:ptCount val="10"/>
                <c:pt idx="0">
                  <c:v>2.306</c:v>
                </c:pt>
                <c:pt idx="1">
                  <c:v>2.6320000000000001</c:v>
                </c:pt>
                <c:pt idx="2">
                  <c:v>2.2829999999999999</c:v>
                </c:pt>
                <c:pt idx="3">
                  <c:v>2.4329999999999998</c:v>
                </c:pt>
                <c:pt idx="4">
                  <c:v>2.3530000000000002</c:v>
                </c:pt>
                <c:pt idx="5">
                  <c:v>2.3959999999999999</c:v>
                </c:pt>
                <c:pt idx="6">
                  <c:v>2.2490000000000001</c:v>
                </c:pt>
                <c:pt idx="7">
                  <c:v>2.5659999999999998</c:v>
                </c:pt>
                <c:pt idx="8">
                  <c:v>2.5529999999999999</c:v>
                </c:pt>
                <c:pt idx="9">
                  <c:v>2.4449999999999998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D-44BE-B71B-D8C8496D5DA6}"/>
            </c:ext>
          </c:extLst>
        </c:ser>
        <c:ser>
          <c:idx val="2"/>
          <c:order val="2"/>
          <c:tx>
            <c:strRef>
              <c:f>Sheet1!$A$54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Sheet1!$B$54:$K$54</c:f>
              <c:numCache>
                <c:formatCode>General</c:formatCode>
                <c:ptCount val="10"/>
                <c:pt idx="0">
                  <c:v>84.95</c:v>
                </c:pt>
                <c:pt idx="1">
                  <c:v>19.603999999999999</c:v>
                </c:pt>
                <c:pt idx="2">
                  <c:v>20.89</c:v>
                </c:pt>
                <c:pt idx="3">
                  <c:v>17.632000000000001</c:v>
                </c:pt>
                <c:pt idx="4">
                  <c:v>17.361999999999998</c:v>
                </c:pt>
                <c:pt idx="5">
                  <c:v>18.946000000000002</c:v>
                </c:pt>
                <c:pt idx="6">
                  <c:v>18.132000000000001</c:v>
                </c:pt>
                <c:pt idx="7">
                  <c:v>19.100999999999999</c:v>
                </c:pt>
                <c:pt idx="8">
                  <c:v>17.574999999999999</c:v>
                </c:pt>
                <c:pt idx="9">
                  <c:v>18.085999999999999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BD-44BE-B71B-D8C8496D5DA6}"/>
            </c:ext>
          </c:extLst>
        </c:ser>
        <c:ser>
          <c:idx val="3"/>
          <c:order val="3"/>
          <c:tx>
            <c:strRef>
              <c:f>Sheet1!$A$55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Sheet1!$B$55:$K$55</c:f>
              <c:numCache>
                <c:formatCode>General</c:formatCode>
                <c:ptCount val="10"/>
                <c:pt idx="0">
                  <c:v>84.057000000000002</c:v>
                </c:pt>
                <c:pt idx="1">
                  <c:v>83.819000000000003</c:v>
                </c:pt>
                <c:pt idx="2">
                  <c:v>87.9</c:v>
                </c:pt>
                <c:pt idx="3">
                  <c:v>83.581999999999994</c:v>
                </c:pt>
                <c:pt idx="4">
                  <c:v>79.046000000000006</c:v>
                </c:pt>
                <c:pt idx="5">
                  <c:v>69.576999999999998</c:v>
                </c:pt>
                <c:pt idx="6">
                  <c:v>79.350999999999999</c:v>
                </c:pt>
                <c:pt idx="7">
                  <c:v>76.429000000000002</c:v>
                </c:pt>
                <c:pt idx="8">
                  <c:v>77.981999999999999</c:v>
                </c:pt>
                <c:pt idx="9">
                  <c:v>82.072999999999993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BD-44BE-B71B-D8C8496D5DA6}"/>
            </c:ext>
          </c:extLst>
        </c:ser>
        <c:ser>
          <c:idx val="4"/>
          <c:order val="4"/>
          <c:tx>
            <c:strRef>
              <c:f>Sheet1!$A$56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Sheet1!$B$56:$K$56</c:f>
              <c:numCache>
                <c:formatCode>General</c:formatCode>
                <c:ptCount val="10"/>
                <c:pt idx="0">
                  <c:v>72.956999999999994</c:v>
                </c:pt>
                <c:pt idx="1">
                  <c:v>74.742999999999995</c:v>
                </c:pt>
                <c:pt idx="2">
                  <c:v>78.183000000000007</c:v>
                </c:pt>
                <c:pt idx="3">
                  <c:v>73.454999999999998</c:v>
                </c:pt>
                <c:pt idx="4">
                  <c:v>70.302999999999997</c:v>
                </c:pt>
                <c:pt idx="5">
                  <c:v>71.822000000000003</c:v>
                </c:pt>
                <c:pt idx="6">
                  <c:v>71.528999999999996</c:v>
                </c:pt>
                <c:pt idx="7">
                  <c:v>72.44</c:v>
                </c:pt>
                <c:pt idx="8">
                  <c:v>70.861999999999995</c:v>
                </c:pt>
                <c:pt idx="9">
                  <c:v>72.620999999999995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BD-44BE-B71B-D8C8496D5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374895"/>
        <c:axId val="11370899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Sheet1!$A$52</c15:sqref>
                        </c15:formulaRef>
                      </c:ext>
                    </c:extLst>
                    <c:strCache>
                      <c:ptCount val="1"/>
                      <c:pt idx="0">
                        <c:v>Pokus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Sheet1!$B$52:$K$52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2BD-44BE-B71B-D8C8496D5DA6}"/>
                  </c:ext>
                </c:extLst>
              </c15:ser>
            </c15:filteredLineSeries>
          </c:ext>
        </c:extLst>
      </c:lineChart>
      <c:catAx>
        <c:axId val="1143374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089919"/>
        <c:crosses val="autoZero"/>
        <c:auto val="1"/>
        <c:lblAlgn val="ctr"/>
        <c:lblOffset val="100"/>
        <c:noMultiLvlLbl val="0"/>
      </c:catAx>
      <c:valAx>
        <c:axId val="113708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74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Sheet1!$A$60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Sheet1!$B$60:$K$60</c:f>
              <c:numCache>
                <c:formatCode>General</c:formatCode>
                <c:ptCount val="10"/>
                <c:pt idx="0">
                  <c:v>6.3E-2</c:v>
                </c:pt>
                <c:pt idx="1">
                  <c:v>5.0000000000000001E-3</c:v>
                </c:pt>
                <c:pt idx="2">
                  <c:v>5.0000000000000001E-3</c:v>
                </c:pt>
                <c:pt idx="3">
                  <c:v>7.0000000000000001E-3</c:v>
                </c:pt>
                <c:pt idx="4">
                  <c:v>1E-3</c:v>
                </c:pt>
                <c:pt idx="5">
                  <c:v>1E-3</c:v>
                </c:pt>
                <c:pt idx="6">
                  <c:v>4.0000000000000001E-3</c:v>
                </c:pt>
                <c:pt idx="7">
                  <c:v>7.0000000000000001E-3</c:v>
                </c:pt>
                <c:pt idx="8">
                  <c:v>1.4999999999999999E-2</c:v>
                </c:pt>
                <c:pt idx="9">
                  <c:v>2.8000000000000001E-2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D4E-9551-B404343B250F}"/>
            </c:ext>
          </c:extLst>
        </c:ser>
        <c:ser>
          <c:idx val="2"/>
          <c:order val="1"/>
          <c:tx>
            <c:strRef>
              <c:f>Sheet1!$A$61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Sheet1!$B$61:$K$61</c:f>
              <c:numCache>
                <c:formatCode>General</c:formatCode>
                <c:ptCount val="10"/>
                <c:pt idx="0">
                  <c:v>6.0000000000000001E-3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2E-3</c:v>
                </c:pt>
                <c:pt idx="5">
                  <c:v>1E-3</c:v>
                </c:pt>
                <c:pt idx="6">
                  <c:v>2E-3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92-4D4E-9551-B404343B250F}"/>
            </c:ext>
          </c:extLst>
        </c:ser>
        <c:ser>
          <c:idx val="3"/>
          <c:order val="2"/>
          <c:tx>
            <c:strRef>
              <c:f>Sheet1!$A$62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Sheet1!$B$62:$K$62</c:f>
              <c:numCache>
                <c:formatCode>General</c:formatCode>
                <c:ptCount val="10"/>
                <c:pt idx="0">
                  <c:v>0.217</c:v>
                </c:pt>
                <c:pt idx="1">
                  <c:v>9.5000000000000001E-2</c:v>
                </c:pt>
                <c:pt idx="2">
                  <c:v>0.106</c:v>
                </c:pt>
                <c:pt idx="3">
                  <c:v>8.1000000000000003E-2</c:v>
                </c:pt>
                <c:pt idx="4">
                  <c:v>8.6999999999999994E-2</c:v>
                </c:pt>
                <c:pt idx="5">
                  <c:v>0.10199999999999999</c:v>
                </c:pt>
                <c:pt idx="6">
                  <c:v>7.8E-2</c:v>
                </c:pt>
                <c:pt idx="7">
                  <c:v>0.10199999999999999</c:v>
                </c:pt>
                <c:pt idx="8">
                  <c:v>8.2000000000000003E-2</c:v>
                </c:pt>
                <c:pt idx="9">
                  <c:v>0.113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92-4D4E-9551-B404343B250F}"/>
            </c:ext>
          </c:extLst>
        </c:ser>
        <c:ser>
          <c:idx val="4"/>
          <c:order val="3"/>
          <c:tx>
            <c:strRef>
              <c:f>Sheet1!$A$63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Sheet1!$B$63:$K$63</c:f>
              <c:numCache>
                <c:formatCode>General</c:formatCode>
                <c:ptCount val="10"/>
                <c:pt idx="0">
                  <c:v>0.04</c:v>
                </c:pt>
                <c:pt idx="1">
                  <c:v>2.1000000000000001E-2</c:v>
                </c:pt>
                <c:pt idx="2">
                  <c:v>2.3E-2</c:v>
                </c:pt>
                <c:pt idx="3">
                  <c:v>1.4999999999999999E-2</c:v>
                </c:pt>
                <c:pt idx="4">
                  <c:v>1.7000000000000001E-2</c:v>
                </c:pt>
                <c:pt idx="5">
                  <c:v>1.4999999999999999E-2</c:v>
                </c:pt>
                <c:pt idx="6">
                  <c:v>1.2999999999999999E-2</c:v>
                </c:pt>
                <c:pt idx="7">
                  <c:v>1.6E-2</c:v>
                </c:pt>
                <c:pt idx="8">
                  <c:v>1.7000000000000001E-2</c:v>
                </c:pt>
                <c:pt idx="9">
                  <c:v>0.02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92-4D4E-9551-B404343B2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719536"/>
        <c:axId val="106720016"/>
      </c:lineChart>
      <c:catAx>
        <c:axId val="106719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20016"/>
        <c:crosses val="autoZero"/>
        <c:auto val="1"/>
        <c:lblAlgn val="ctr"/>
        <c:lblOffset val="100"/>
        <c:noMultiLvlLbl val="0"/>
      </c:catAx>
      <c:valAx>
        <c:axId val="1067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1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Sheet1!$A$67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Sheet1!$B$67:$K$67</c:f>
              <c:numCache>
                <c:formatCode>General</c:formatCode>
                <c:ptCount val="10"/>
                <c:pt idx="0">
                  <c:v>4.7E-2</c:v>
                </c:pt>
                <c:pt idx="1">
                  <c:v>1.7000000000000001E-2</c:v>
                </c:pt>
                <c:pt idx="2">
                  <c:v>1E-3</c:v>
                </c:pt>
                <c:pt idx="3">
                  <c:v>1.4999999999999999E-2</c:v>
                </c:pt>
                <c:pt idx="4">
                  <c:v>1E-3</c:v>
                </c:pt>
                <c:pt idx="5">
                  <c:v>1.6E-2</c:v>
                </c:pt>
                <c:pt idx="6">
                  <c:v>1.7000000000000001E-2</c:v>
                </c:pt>
                <c:pt idx="7">
                  <c:v>1.0999999999999999E-2</c:v>
                </c:pt>
                <c:pt idx="8">
                  <c:v>3.4000000000000002E-2</c:v>
                </c:pt>
                <c:pt idx="9">
                  <c:v>1.6E-2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D3-48BB-A6DC-F05ECBE88979}"/>
            </c:ext>
          </c:extLst>
        </c:ser>
        <c:ser>
          <c:idx val="2"/>
          <c:order val="1"/>
          <c:tx>
            <c:strRef>
              <c:f>Sheet1!$A$68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Sheet1!$B$68:$K$68</c:f>
              <c:numCache>
                <c:formatCode>General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D3-48BB-A6DC-F05ECBE88979}"/>
            </c:ext>
          </c:extLst>
        </c:ser>
        <c:ser>
          <c:idx val="3"/>
          <c:order val="2"/>
          <c:tx>
            <c:strRef>
              <c:f>Sheet1!$A$69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Sheet1!$B$69:$K$69</c:f>
              <c:numCache>
                <c:formatCode>General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D3-48BB-A6DC-F05ECBE88979}"/>
            </c:ext>
          </c:extLst>
        </c:ser>
        <c:ser>
          <c:idx val="4"/>
          <c:order val="3"/>
          <c:tx>
            <c:strRef>
              <c:f>Sheet1!$A$70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Sheet1!$B$70:$K$70</c:f>
              <c:numCache>
                <c:formatCode>General</c:formatCode>
                <c:ptCount val="10"/>
                <c:pt idx="0">
                  <c:v>1.4570000000000001</c:v>
                </c:pt>
                <c:pt idx="1">
                  <c:v>1.226</c:v>
                </c:pt>
                <c:pt idx="2">
                  <c:v>1.25</c:v>
                </c:pt>
                <c:pt idx="3">
                  <c:v>1.292</c:v>
                </c:pt>
                <c:pt idx="4">
                  <c:v>1.3180000000000001</c:v>
                </c:pt>
                <c:pt idx="5">
                  <c:v>1.3109999999999999</c:v>
                </c:pt>
                <c:pt idx="6">
                  <c:v>1.395</c:v>
                </c:pt>
                <c:pt idx="7">
                  <c:v>1.25</c:v>
                </c:pt>
                <c:pt idx="8">
                  <c:v>1.343</c:v>
                </c:pt>
                <c:pt idx="9">
                  <c:v>1.256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D3-48BB-A6DC-F05ECBE889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621936"/>
        <c:axId val="814622416"/>
      </c:lineChart>
      <c:catAx>
        <c:axId val="814621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622416"/>
        <c:crosses val="autoZero"/>
        <c:auto val="1"/>
        <c:lblAlgn val="ctr"/>
        <c:lblOffset val="100"/>
        <c:noMultiLvlLbl val="0"/>
      </c:catAx>
      <c:valAx>
        <c:axId val="81462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62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0</xdr:row>
      <xdr:rowOff>109537</xdr:rowOff>
    </xdr:from>
    <xdr:to>
      <xdr:col>22</xdr:col>
      <xdr:colOff>304800</xdr:colOff>
      <xdr:row>13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6B53894-94FD-41DF-C7CC-A3623B8B0804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9525</xdr:colOff>
      <xdr:row>15</xdr:row>
      <xdr:rowOff>0</xdr:rowOff>
    </xdr:from>
    <xdr:to>
      <xdr:col>22</xdr:col>
      <xdr:colOff>314325</xdr:colOff>
      <xdr:row>27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FCDC96-0381-AB8B-AACD-B8731C59B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4762</xdr:colOff>
      <xdr:row>28</xdr:row>
      <xdr:rowOff>14287</xdr:rowOff>
    </xdr:from>
    <xdr:to>
      <xdr:col>22</xdr:col>
      <xdr:colOff>309562</xdr:colOff>
      <xdr:row>42</xdr:row>
      <xdr:rowOff>83287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AFDBAD-D542-941A-D454-45482BCE7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604837</xdr:colOff>
      <xdr:row>0</xdr:row>
      <xdr:rowOff>100012</xdr:rowOff>
    </xdr:from>
    <xdr:to>
      <xdr:col>30</xdr:col>
      <xdr:colOff>300037</xdr:colOff>
      <xdr:row>13</xdr:row>
      <xdr:rowOff>169012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455B32-1B7E-55D4-704A-B32F59E600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604837</xdr:colOff>
      <xdr:row>15</xdr:row>
      <xdr:rowOff>0</xdr:rowOff>
    </xdr:from>
    <xdr:to>
      <xdr:col>30</xdr:col>
      <xdr:colOff>300037</xdr:colOff>
      <xdr:row>27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572F1B-0DB2-81AB-8B42-50F5481B6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600075</xdr:colOff>
      <xdr:row>28</xdr:row>
      <xdr:rowOff>4762</xdr:rowOff>
    </xdr:from>
    <xdr:to>
      <xdr:col>30</xdr:col>
      <xdr:colOff>295275</xdr:colOff>
      <xdr:row>42</xdr:row>
      <xdr:rowOff>80962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5A6079-5CA6-59AA-5AD9-7197D886BA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9525</xdr:colOff>
      <xdr:row>44</xdr:row>
      <xdr:rowOff>14287</xdr:rowOff>
    </xdr:from>
    <xdr:to>
      <xdr:col>25</xdr:col>
      <xdr:colOff>314325</xdr:colOff>
      <xdr:row>58</xdr:row>
      <xdr:rowOff>90487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3BEA24-3F84-0F0E-5AAC-AF3040BCA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4442-7EDD-4B7F-9E93-0359649CCCF5}">
  <dimension ref="A1:M78"/>
  <sheetViews>
    <sheetView tabSelected="1" topLeftCell="D13" workbookViewId="0">
      <selection activeCell="L53" sqref="L53"/>
    </sheetView>
  </sheetViews>
  <sheetFormatPr defaultRowHeight="15" x14ac:dyDescent="0.25"/>
  <cols>
    <col min="1" max="1" width="16.7109375" customWidth="1"/>
  </cols>
  <sheetData>
    <row r="1" spans="1:12" x14ac:dyDescent="0.25">
      <c r="B1" s="3" t="s">
        <v>13</v>
      </c>
      <c r="C1" s="3" t="s">
        <v>14</v>
      </c>
      <c r="D1" s="3" t="s">
        <v>15</v>
      </c>
      <c r="E1" s="3" t="s">
        <v>16</v>
      </c>
    </row>
    <row r="2" spans="1:12" x14ac:dyDescent="0.25">
      <c r="A2" s="3" t="s">
        <v>0</v>
      </c>
      <c r="B2" s="1">
        <f>L8</f>
        <v>26.324399999999997</v>
      </c>
      <c r="C2" s="1">
        <f>L14</f>
        <v>133.3544</v>
      </c>
      <c r="D2" s="1">
        <f>L20</f>
        <v>13.138799999999998</v>
      </c>
      <c r="E2" s="1">
        <f>L26</f>
        <v>88.202000000000012</v>
      </c>
    </row>
    <row r="3" spans="1:12" x14ac:dyDescent="0.25">
      <c r="A3" s="3" t="s">
        <v>1</v>
      </c>
      <c r="B3" s="1">
        <f>L9</f>
        <v>26.611700000000003</v>
      </c>
      <c r="C3" s="1">
        <f>L15</f>
        <v>50.8934</v>
      </c>
      <c r="D3" s="1">
        <f>L21</f>
        <v>35.071199999999997</v>
      </c>
      <c r="E3" s="1">
        <f>L27</f>
        <v>167.40899999999996</v>
      </c>
    </row>
    <row r="4" spans="1:12" x14ac:dyDescent="0.25">
      <c r="A4" s="3" t="s">
        <v>2</v>
      </c>
      <c r="B4" s="1">
        <f>L10</f>
        <v>110.23260000000001</v>
      </c>
      <c r="C4" s="1">
        <f>L16</f>
        <v>731.18219999999997</v>
      </c>
      <c r="D4" s="1">
        <f>L22</f>
        <v>108.37280000000001</v>
      </c>
      <c r="E4" s="1">
        <f>L28</f>
        <v>614.11620000000005</v>
      </c>
    </row>
    <row r="6" spans="1:12" x14ac:dyDescent="0.25">
      <c r="B6" s="7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x14ac:dyDescent="0.25">
      <c r="A7" s="3" t="s">
        <v>9</v>
      </c>
      <c r="B7" s="1">
        <v>1</v>
      </c>
      <c r="C7" s="1">
        <v>2</v>
      </c>
      <c r="D7" s="1">
        <v>3</v>
      </c>
      <c r="E7" s="1">
        <v>4</v>
      </c>
      <c r="F7" s="1">
        <v>5</v>
      </c>
      <c r="G7" s="1">
        <v>6</v>
      </c>
      <c r="H7" s="1">
        <v>7</v>
      </c>
      <c r="I7" s="1">
        <v>8</v>
      </c>
      <c r="J7" s="1">
        <v>9</v>
      </c>
      <c r="K7" s="1">
        <v>10</v>
      </c>
      <c r="L7" s="1" t="s">
        <v>8</v>
      </c>
    </row>
    <row r="8" spans="1:12" x14ac:dyDescent="0.25">
      <c r="A8" s="3" t="s">
        <v>0</v>
      </c>
      <c r="B8" s="1">
        <v>36</v>
      </c>
      <c r="C8" s="1">
        <v>29.631</v>
      </c>
      <c r="D8">
        <v>18.791</v>
      </c>
      <c r="E8" s="1">
        <v>29.056999999999999</v>
      </c>
      <c r="F8" s="1">
        <v>28.928999999999998</v>
      </c>
      <c r="G8" s="1">
        <v>18.428000000000001</v>
      </c>
      <c r="H8" s="1">
        <v>17.420000000000002</v>
      </c>
      <c r="I8" s="2">
        <v>27.306000000000001</v>
      </c>
      <c r="J8" s="2">
        <v>27.988</v>
      </c>
      <c r="K8" s="2">
        <v>29.693999999999999</v>
      </c>
      <c r="L8" s="1">
        <f>AVERAGE(B8:K8)</f>
        <v>26.324399999999997</v>
      </c>
    </row>
    <row r="9" spans="1:12" x14ac:dyDescent="0.25">
      <c r="A9" s="3" t="s">
        <v>1</v>
      </c>
      <c r="B9" s="1">
        <v>39</v>
      </c>
      <c r="C9" s="1">
        <v>26.058</v>
      </c>
      <c r="D9" s="1">
        <v>24.521000000000001</v>
      </c>
      <c r="E9" s="1">
        <v>25.393999999999998</v>
      </c>
      <c r="F9" s="1">
        <v>24.667999999999999</v>
      </c>
      <c r="G9" s="1">
        <v>25.027000000000001</v>
      </c>
      <c r="H9" s="1">
        <v>24.248000000000001</v>
      </c>
      <c r="I9" s="1">
        <v>27.858000000000001</v>
      </c>
      <c r="J9" s="1">
        <v>25.13</v>
      </c>
      <c r="K9" s="1">
        <v>24.213000000000001</v>
      </c>
      <c r="L9" s="1">
        <f>AVERAGE(B9:K9)</f>
        <v>26.611700000000003</v>
      </c>
    </row>
    <row r="10" spans="1:12" x14ac:dyDescent="0.25">
      <c r="A10" s="3" t="s">
        <v>2</v>
      </c>
      <c r="B10" s="1">
        <v>113.36799999999999</v>
      </c>
      <c r="C10" s="1">
        <v>140.102</v>
      </c>
      <c r="D10" s="1">
        <v>42.460999999999999</v>
      </c>
      <c r="E10" s="1">
        <v>89.234999999999999</v>
      </c>
      <c r="F10" s="1">
        <v>142.15100000000001</v>
      </c>
      <c r="G10" s="1">
        <v>177.51400000000001</v>
      </c>
      <c r="H10" s="1">
        <v>57.78</v>
      </c>
      <c r="I10" s="1">
        <v>114.05800000000001</v>
      </c>
      <c r="J10" s="1">
        <v>121.05200000000001</v>
      </c>
      <c r="K10" s="1">
        <v>104.605</v>
      </c>
      <c r="L10" s="1">
        <f>AVERAGE(B10:K10)</f>
        <v>110.23260000000001</v>
      </c>
    </row>
    <row r="12" spans="1:12" x14ac:dyDescent="0.25">
      <c r="B12" s="7" t="s">
        <v>29</v>
      </c>
      <c r="C12" s="8"/>
      <c r="D12" s="8"/>
      <c r="E12" s="8"/>
      <c r="F12" s="8"/>
      <c r="G12" s="8"/>
      <c r="H12" s="8"/>
      <c r="I12" s="8"/>
      <c r="J12" s="8"/>
      <c r="K12" s="8"/>
      <c r="L12" s="8"/>
    </row>
    <row r="13" spans="1:12" x14ac:dyDescent="0.25">
      <c r="A13" s="3" t="s">
        <v>9</v>
      </c>
      <c r="B13" s="1">
        <v>1</v>
      </c>
      <c r="C13" s="1">
        <v>2</v>
      </c>
      <c r="D13" s="1">
        <v>3</v>
      </c>
      <c r="E13" s="1">
        <v>4</v>
      </c>
      <c r="F13" s="1">
        <v>5</v>
      </c>
      <c r="G13" s="1">
        <v>6</v>
      </c>
      <c r="H13" s="1">
        <v>7</v>
      </c>
      <c r="I13" s="1">
        <v>8</v>
      </c>
      <c r="J13" s="1">
        <v>9</v>
      </c>
      <c r="K13" s="1">
        <v>10</v>
      </c>
      <c r="L13" s="1" t="s">
        <v>8</v>
      </c>
    </row>
    <row r="14" spans="1:12" x14ac:dyDescent="0.25">
      <c r="A14" s="3" t="s">
        <v>0</v>
      </c>
      <c r="B14" s="1">
        <v>183</v>
      </c>
      <c r="C14" s="1">
        <v>147.54400000000001</v>
      </c>
      <c r="D14" s="1">
        <v>87.25</v>
      </c>
      <c r="E14" s="1">
        <v>150.154</v>
      </c>
      <c r="F14" s="1">
        <v>153.619</v>
      </c>
      <c r="G14" s="1">
        <v>86.887</v>
      </c>
      <c r="H14" s="1">
        <v>85.766000000000005</v>
      </c>
      <c r="I14" s="2">
        <v>147.97900000000001</v>
      </c>
      <c r="J14" s="2">
        <v>146.07900000000001</v>
      </c>
      <c r="K14" s="2">
        <v>145.26599999999999</v>
      </c>
      <c r="L14" s="1">
        <f>AVERAGE(B14:K14)</f>
        <v>133.3544</v>
      </c>
    </row>
    <row r="15" spans="1:12" x14ac:dyDescent="0.25">
      <c r="A15" s="3" t="s">
        <v>1</v>
      </c>
      <c r="B15" s="1">
        <v>75</v>
      </c>
      <c r="C15" s="1">
        <v>47.259</v>
      </c>
      <c r="D15" s="1">
        <v>47.514000000000003</v>
      </c>
      <c r="E15" s="1">
        <v>48.078000000000003</v>
      </c>
      <c r="F15" s="1">
        <v>45.253</v>
      </c>
      <c r="G15" s="1">
        <v>48.841000000000001</v>
      </c>
      <c r="H15" s="1">
        <v>49.649000000000001</v>
      </c>
      <c r="I15" s="1">
        <v>51.773000000000003</v>
      </c>
      <c r="J15" s="1">
        <v>48.143000000000001</v>
      </c>
      <c r="K15" s="1">
        <v>47.423999999999999</v>
      </c>
      <c r="L15" s="1">
        <f>AVERAGE(B15:K15)</f>
        <v>50.8934</v>
      </c>
    </row>
    <row r="16" spans="1:12" x14ac:dyDescent="0.25">
      <c r="A16" s="3" t="s">
        <v>2</v>
      </c>
      <c r="B16" s="1">
        <v>716.524</v>
      </c>
      <c r="C16" s="1">
        <v>764.4</v>
      </c>
      <c r="D16" s="1">
        <v>616.178</v>
      </c>
      <c r="E16" s="1">
        <v>766.34900000000005</v>
      </c>
      <c r="F16" s="1">
        <v>755.65800000000002</v>
      </c>
      <c r="G16" s="1">
        <v>757.596</v>
      </c>
      <c r="H16" s="1">
        <v>748.79600000000005</v>
      </c>
      <c r="I16" s="1">
        <v>740.07100000000003</v>
      </c>
      <c r="J16" s="1">
        <v>743.64</v>
      </c>
      <c r="K16" s="1">
        <v>702.61</v>
      </c>
      <c r="L16" s="1">
        <f>AVERAGE(B16:K16)</f>
        <v>731.18219999999997</v>
      </c>
    </row>
    <row r="18" spans="1:13" x14ac:dyDescent="0.25">
      <c r="B18" s="7" t="s">
        <v>30</v>
      </c>
      <c r="C18" s="8"/>
      <c r="D18" s="8"/>
      <c r="E18" s="8"/>
      <c r="F18" s="8"/>
      <c r="G18" s="8"/>
      <c r="H18" s="8"/>
      <c r="I18" s="8"/>
      <c r="J18" s="8"/>
      <c r="K18" s="8"/>
      <c r="L18" s="8"/>
    </row>
    <row r="19" spans="1:13" x14ac:dyDescent="0.25">
      <c r="A19" s="3" t="s">
        <v>9</v>
      </c>
      <c r="B19" s="1">
        <v>1</v>
      </c>
      <c r="C19" s="1">
        <v>2</v>
      </c>
      <c r="D19" s="1">
        <v>3</v>
      </c>
      <c r="E19" s="1">
        <v>4</v>
      </c>
      <c r="F19" s="1">
        <v>5</v>
      </c>
      <c r="G19" s="1">
        <v>6</v>
      </c>
      <c r="H19" s="1">
        <v>7</v>
      </c>
      <c r="I19" s="1">
        <v>8</v>
      </c>
      <c r="J19" s="1">
        <v>9</v>
      </c>
      <c r="K19" s="1">
        <v>10</v>
      </c>
      <c r="L19" s="1" t="s">
        <v>8</v>
      </c>
    </row>
    <row r="20" spans="1:13" x14ac:dyDescent="0.25">
      <c r="A20" s="3" t="s">
        <v>0</v>
      </c>
      <c r="B20" s="1">
        <v>10.135999999999999</v>
      </c>
      <c r="C20" s="1">
        <v>15.295999999999999</v>
      </c>
      <c r="D20" s="1">
        <v>9.2569999999999997</v>
      </c>
      <c r="E20" s="1">
        <v>14.686</v>
      </c>
      <c r="F20" s="1">
        <v>15.606</v>
      </c>
      <c r="G20" s="1">
        <v>9.6170000000000009</v>
      </c>
      <c r="H20" s="1">
        <v>9.7370000000000001</v>
      </c>
      <c r="I20" s="2">
        <v>15.529</v>
      </c>
      <c r="J20" s="2">
        <v>14.917999999999999</v>
      </c>
      <c r="K20" s="2">
        <v>16.606000000000002</v>
      </c>
      <c r="L20" s="1">
        <f>AVERAGE(B20:K20)</f>
        <v>13.138799999999998</v>
      </c>
    </row>
    <row r="21" spans="1:13" x14ac:dyDescent="0.25">
      <c r="A21" s="3" t="s">
        <v>1</v>
      </c>
      <c r="B21" s="1">
        <v>29.62</v>
      </c>
      <c r="C21" s="1">
        <v>35.389000000000003</v>
      </c>
      <c r="D21" s="1">
        <v>38.695</v>
      </c>
      <c r="E21" s="1">
        <v>34.912999999999997</v>
      </c>
      <c r="F21" s="1">
        <v>38.325000000000003</v>
      </c>
      <c r="G21" s="1">
        <v>33.274999999999999</v>
      </c>
      <c r="H21" s="1">
        <v>35.993000000000002</v>
      </c>
      <c r="I21" s="1">
        <v>33.753999999999998</v>
      </c>
      <c r="J21" s="1">
        <v>36.777999999999999</v>
      </c>
      <c r="K21" s="1">
        <v>33.97</v>
      </c>
      <c r="L21" s="1">
        <f>AVERAGE(B21:K21)</f>
        <v>35.071199999999997</v>
      </c>
    </row>
    <row r="22" spans="1:13" x14ac:dyDescent="0.25">
      <c r="A22" s="3" t="s">
        <v>2</v>
      </c>
      <c r="B22" s="1">
        <v>117.803</v>
      </c>
      <c r="C22" s="1">
        <v>104.125</v>
      </c>
      <c r="D22" s="1">
        <v>80.650999999999996</v>
      </c>
      <c r="E22" s="1">
        <v>89.963999999999999</v>
      </c>
      <c r="F22" s="1">
        <v>126.736</v>
      </c>
      <c r="G22" s="1">
        <v>87.064999999999998</v>
      </c>
      <c r="H22" s="1">
        <v>120.006</v>
      </c>
      <c r="I22" s="1">
        <v>120.53400000000001</v>
      </c>
      <c r="J22" s="1">
        <v>121.527</v>
      </c>
      <c r="K22" s="1">
        <v>115.31699999999999</v>
      </c>
      <c r="L22" s="1">
        <f>AVERAGE(B22:K22)</f>
        <v>108.37280000000001</v>
      </c>
    </row>
    <row r="24" spans="1:13" x14ac:dyDescent="0.25">
      <c r="B24" s="7" t="s">
        <v>31</v>
      </c>
      <c r="C24" s="8"/>
      <c r="D24" s="8"/>
      <c r="E24" s="8"/>
      <c r="F24" s="8"/>
      <c r="G24" s="8"/>
      <c r="H24" s="8"/>
      <c r="I24" s="8"/>
      <c r="J24" s="8"/>
      <c r="K24" s="8"/>
      <c r="L24" s="8"/>
    </row>
    <row r="25" spans="1:13" x14ac:dyDescent="0.25">
      <c r="A25" s="3" t="s">
        <v>9</v>
      </c>
      <c r="B25" s="1">
        <v>1</v>
      </c>
      <c r="C25" s="1">
        <v>2</v>
      </c>
      <c r="D25" s="1">
        <v>3</v>
      </c>
      <c r="E25" s="1">
        <v>4</v>
      </c>
      <c r="F25" s="1">
        <v>5</v>
      </c>
      <c r="G25" s="1">
        <v>6</v>
      </c>
      <c r="H25" s="1">
        <v>7</v>
      </c>
      <c r="I25" s="1">
        <v>8</v>
      </c>
      <c r="J25" s="1">
        <v>9</v>
      </c>
      <c r="K25" s="1">
        <v>10</v>
      </c>
      <c r="L25" s="1" t="s">
        <v>8</v>
      </c>
    </row>
    <row r="26" spans="1:13" x14ac:dyDescent="0.25">
      <c r="A26" s="3" t="s">
        <v>0</v>
      </c>
      <c r="B26" s="1">
        <v>51.536999999999999</v>
      </c>
      <c r="C26" s="1">
        <v>108.20399999999999</v>
      </c>
      <c r="D26" s="1">
        <v>62.531999999999996</v>
      </c>
      <c r="E26" s="1">
        <v>108.259</v>
      </c>
      <c r="F26" s="1">
        <v>110.886</v>
      </c>
      <c r="G26" s="1">
        <v>63.735999999999997</v>
      </c>
      <c r="H26" s="1">
        <v>62.685000000000002</v>
      </c>
      <c r="I26" s="2">
        <v>104.099</v>
      </c>
      <c r="J26" s="2">
        <v>100.56</v>
      </c>
      <c r="K26" s="2">
        <v>109.52200000000001</v>
      </c>
      <c r="L26" s="1">
        <f>AVERAGE(B26:K26)</f>
        <v>88.202000000000012</v>
      </c>
    </row>
    <row r="27" spans="1:13" x14ac:dyDescent="0.25">
      <c r="A27" s="3" t="s">
        <v>1</v>
      </c>
      <c r="B27" s="1">
        <v>147.721</v>
      </c>
      <c r="C27" s="6">
        <v>158.97300000000001</v>
      </c>
      <c r="D27" s="1">
        <v>165.31800000000001</v>
      </c>
      <c r="E27" s="1">
        <v>195.46299999999999</v>
      </c>
      <c r="F27" s="1">
        <v>168.44900000000001</v>
      </c>
      <c r="G27" s="1">
        <v>168.05799999999999</v>
      </c>
      <c r="H27" s="1">
        <v>172.678</v>
      </c>
      <c r="I27" s="1">
        <v>177.273</v>
      </c>
      <c r="J27" s="1">
        <v>174.452</v>
      </c>
      <c r="K27" s="1">
        <v>145.70500000000001</v>
      </c>
      <c r="L27" s="1">
        <f>AVERAGE(B27:K27)</f>
        <v>167.40899999999996</v>
      </c>
    </row>
    <row r="28" spans="1:13" x14ac:dyDescent="0.25">
      <c r="A28" s="3" t="s">
        <v>2</v>
      </c>
      <c r="B28" s="1">
        <v>587.71199999999999</v>
      </c>
      <c r="C28" s="1">
        <v>676.85299999999995</v>
      </c>
      <c r="D28" s="1">
        <v>472.33600000000001</v>
      </c>
      <c r="E28" s="1">
        <v>490.07400000000001</v>
      </c>
      <c r="F28" s="1">
        <v>740.62699999999995</v>
      </c>
      <c r="G28" s="1">
        <v>512.08500000000004</v>
      </c>
      <c r="H28" s="1">
        <v>667.59</v>
      </c>
      <c r="I28" s="1">
        <v>665.35799999999995</v>
      </c>
      <c r="J28" s="1">
        <v>665.87</v>
      </c>
      <c r="K28" s="1">
        <v>662.65700000000004</v>
      </c>
      <c r="L28" s="1">
        <f>AVERAGE(B28:K28)</f>
        <v>614.11620000000005</v>
      </c>
    </row>
    <row r="30" spans="1:13" x14ac:dyDescent="0.25">
      <c r="B30" s="7" t="s">
        <v>7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 spans="1:13" x14ac:dyDescent="0.25">
      <c r="A31" s="3" t="s">
        <v>9</v>
      </c>
      <c r="B31" s="1">
        <v>1</v>
      </c>
      <c r="C31" s="1">
        <v>2</v>
      </c>
      <c r="D31" s="1">
        <v>3</v>
      </c>
      <c r="E31" s="1">
        <v>4</v>
      </c>
      <c r="F31" s="1">
        <v>5</v>
      </c>
      <c r="G31" s="1">
        <v>6</v>
      </c>
      <c r="H31" s="1">
        <v>7</v>
      </c>
      <c r="I31" s="1">
        <v>8</v>
      </c>
      <c r="J31" s="1">
        <v>9</v>
      </c>
      <c r="K31" s="1">
        <v>10</v>
      </c>
      <c r="L31" s="1" t="s">
        <v>8</v>
      </c>
      <c r="M31" s="1" t="s">
        <v>17</v>
      </c>
    </row>
    <row r="32" spans="1:13" x14ac:dyDescent="0.25">
      <c r="A32" s="3" t="s">
        <v>3</v>
      </c>
      <c r="B32" s="1">
        <v>5.0000000000000001E-3</v>
      </c>
      <c r="C32" s="1">
        <v>6.0000000000000001E-3</v>
      </c>
      <c r="D32" s="1">
        <v>6.0000000000000001E-3</v>
      </c>
      <c r="E32" s="1">
        <v>0.03</v>
      </c>
      <c r="F32" s="1">
        <v>7.0000000000000001E-3</v>
      </c>
      <c r="G32" s="1">
        <v>6.0000000000000001E-3</v>
      </c>
      <c r="H32" s="1">
        <v>8.0000000000000002E-3</v>
      </c>
      <c r="I32" s="2">
        <v>6.0000000000000001E-3</v>
      </c>
      <c r="J32" s="2">
        <v>6.0000000000000001E-3</v>
      </c>
      <c r="K32" s="2">
        <v>6.0000000000000001E-3</v>
      </c>
      <c r="L32" s="1">
        <f>AVERAGE(B32:K32)</f>
        <v>8.6000000000000017E-3</v>
      </c>
      <c r="M32" s="2">
        <v>7176</v>
      </c>
    </row>
    <row r="33" spans="1:13" x14ac:dyDescent="0.25">
      <c r="A33" s="3" t="s">
        <v>4</v>
      </c>
      <c r="B33" s="1">
        <v>0.15</v>
      </c>
      <c r="C33" s="1">
        <v>0.153</v>
      </c>
      <c r="D33" s="1">
        <v>0.161</v>
      </c>
      <c r="E33" s="1">
        <v>0.22</v>
      </c>
      <c r="F33" s="1">
        <v>0.17699999999999999</v>
      </c>
      <c r="G33" s="1">
        <v>0.218</v>
      </c>
      <c r="H33" s="1">
        <v>0.17899999999999999</v>
      </c>
      <c r="I33" s="1">
        <v>0.17199999999999999</v>
      </c>
      <c r="J33" s="1">
        <v>0.17</v>
      </c>
      <c r="K33" s="1">
        <v>0.14099999999999999</v>
      </c>
      <c r="L33" s="1">
        <f>AVERAGE(B33:K33)</f>
        <v>0.17409999999999998</v>
      </c>
      <c r="M33" s="1">
        <v>7176</v>
      </c>
    </row>
    <row r="34" spans="1:13" x14ac:dyDescent="0.25">
      <c r="A34" s="3" t="s">
        <v>5</v>
      </c>
      <c r="B34" s="1">
        <v>2.7E-2</v>
      </c>
      <c r="C34" s="1">
        <v>0.02</v>
      </c>
      <c r="D34" s="1">
        <v>3.1E-2</v>
      </c>
      <c r="E34" s="1">
        <v>2.1000000000000001E-2</v>
      </c>
      <c r="F34" s="1">
        <v>2.1000000000000001E-2</v>
      </c>
      <c r="G34" s="1">
        <v>3.2000000000000001E-2</v>
      </c>
      <c r="H34" s="1">
        <v>2.7E-2</v>
      </c>
      <c r="I34" s="1">
        <v>2.1000000000000001E-2</v>
      </c>
      <c r="J34" s="1">
        <v>2.1000000000000001E-2</v>
      </c>
      <c r="K34" s="1">
        <v>2.1000000000000001E-2</v>
      </c>
      <c r="L34" s="1">
        <f>AVERAGE(B34:K34)</f>
        <v>2.4199999999999999E-2</v>
      </c>
      <c r="M34" s="1">
        <v>7176</v>
      </c>
    </row>
    <row r="35" spans="1:13" x14ac:dyDescent="0.25">
      <c r="A35" s="3" t="s">
        <v>6</v>
      </c>
      <c r="B35" s="1">
        <v>0.16</v>
      </c>
      <c r="C35" s="1">
        <v>0.182</v>
      </c>
      <c r="D35" s="1">
        <v>0.17399999999999999</v>
      </c>
      <c r="E35" s="1">
        <v>0.19600000000000001</v>
      </c>
      <c r="F35" s="1">
        <v>0.19</v>
      </c>
      <c r="G35" s="1">
        <v>0.18</v>
      </c>
      <c r="H35" s="1">
        <v>0.191</v>
      </c>
      <c r="I35" s="1">
        <v>0.16400000000000001</v>
      </c>
      <c r="J35" s="1">
        <v>0.19700000000000001</v>
      </c>
      <c r="K35" s="1">
        <v>0.18</v>
      </c>
      <c r="L35" s="1">
        <f>AVERAGE(B35:K35)</f>
        <v>0.18139999999999998</v>
      </c>
      <c r="M35" s="1">
        <v>7176</v>
      </c>
    </row>
    <row r="37" spans="1:13" x14ac:dyDescent="0.25">
      <c r="B37" s="7" t="s">
        <v>10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 spans="1:13" x14ac:dyDescent="0.25">
      <c r="A38" s="3" t="s">
        <v>9</v>
      </c>
      <c r="B38" s="1">
        <v>1</v>
      </c>
      <c r="C38" s="1">
        <v>2</v>
      </c>
      <c r="D38" s="1">
        <v>3</v>
      </c>
      <c r="E38" s="1">
        <v>4</v>
      </c>
      <c r="F38" s="1">
        <v>5</v>
      </c>
      <c r="G38" s="1">
        <v>6</v>
      </c>
      <c r="H38" s="1">
        <v>7</v>
      </c>
      <c r="I38" s="1">
        <v>8</v>
      </c>
      <c r="J38" s="1">
        <v>9</v>
      </c>
      <c r="K38" s="1">
        <v>10</v>
      </c>
      <c r="L38" s="1" t="s">
        <v>8</v>
      </c>
      <c r="M38" s="1" t="s">
        <v>17</v>
      </c>
    </row>
    <row r="39" spans="1:13" x14ac:dyDescent="0.25">
      <c r="A39" s="3" t="s">
        <v>3</v>
      </c>
      <c r="B39" s="1">
        <v>0.28799999999999998</v>
      </c>
      <c r="C39" s="2">
        <v>0.247</v>
      </c>
      <c r="D39" s="2">
        <v>0.24399999999999999</v>
      </c>
      <c r="E39" s="2">
        <v>0.20599999999999999</v>
      </c>
      <c r="F39" s="2">
        <v>0.23100000000000001</v>
      </c>
      <c r="G39" s="1">
        <v>0.26</v>
      </c>
      <c r="H39" s="1">
        <v>0.32700000000000001</v>
      </c>
      <c r="I39" s="1">
        <v>0.24199999999999999</v>
      </c>
      <c r="J39" s="1">
        <v>0.23200000000000001</v>
      </c>
      <c r="K39" s="1">
        <v>0.23300000000000001</v>
      </c>
      <c r="L39" s="1">
        <f>AVERAGE(B39:K39)</f>
        <v>0.251</v>
      </c>
      <c r="M39" s="1">
        <v>240949</v>
      </c>
    </row>
    <row r="40" spans="1:13" x14ac:dyDescent="0.25">
      <c r="A40" s="3" t="s">
        <v>4</v>
      </c>
      <c r="B40" s="1">
        <v>9.6039999999999992</v>
      </c>
      <c r="C40" s="1">
        <v>6.3339999999999996</v>
      </c>
      <c r="D40" s="1">
        <v>6.1139999999999999</v>
      </c>
      <c r="E40" s="1">
        <v>6.1120000000000001</v>
      </c>
      <c r="F40" s="1">
        <v>6.2460000000000004</v>
      </c>
      <c r="G40" s="1">
        <v>6.306</v>
      </c>
      <c r="H40" s="1">
        <v>6.3019999999999996</v>
      </c>
      <c r="I40" s="1">
        <v>12.12</v>
      </c>
      <c r="J40" s="1">
        <v>5.859</v>
      </c>
      <c r="K40" s="1">
        <v>5.6890000000000001</v>
      </c>
      <c r="L40" s="1">
        <f>AVERAGE(B40:K40)</f>
        <v>7.0686000000000009</v>
      </c>
      <c r="M40" s="1">
        <v>240949</v>
      </c>
    </row>
    <row r="41" spans="1:13" x14ac:dyDescent="0.25">
      <c r="A41" s="3" t="s">
        <v>5</v>
      </c>
      <c r="B41" s="1">
        <v>3.1379999999999999</v>
      </c>
      <c r="C41" s="1">
        <v>2.8980000000000001</v>
      </c>
      <c r="D41" s="1">
        <v>3.0550000000000002</v>
      </c>
      <c r="E41" s="1">
        <v>2.7280000000000002</v>
      </c>
      <c r="F41" s="1">
        <v>5.3250000000000002</v>
      </c>
      <c r="G41" s="1">
        <v>3.22</v>
      </c>
      <c r="H41" s="1">
        <v>3.9620000000000002</v>
      </c>
      <c r="I41" s="1">
        <v>3.7509999999999999</v>
      </c>
      <c r="J41" s="1">
        <v>3.9319999999999999</v>
      </c>
      <c r="K41" s="1">
        <v>3.8039999999999998</v>
      </c>
      <c r="L41" s="1">
        <f>AVERAGE(B41:K41)</f>
        <v>3.5813000000000001</v>
      </c>
      <c r="M41" s="1">
        <v>240949</v>
      </c>
    </row>
    <row r="42" spans="1:13" x14ac:dyDescent="0.25">
      <c r="A42" s="3" t="s">
        <v>6</v>
      </c>
      <c r="B42" s="1">
        <v>6.2539999999999996</v>
      </c>
      <c r="C42" s="1">
        <v>7.0019999999999998</v>
      </c>
      <c r="D42" s="1">
        <v>6.9569999999999999</v>
      </c>
      <c r="E42" s="1">
        <v>7.048</v>
      </c>
      <c r="F42" s="1">
        <v>6.8529999999999998</v>
      </c>
      <c r="G42" s="1">
        <v>7.1289999999999996</v>
      </c>
      <c r="H42" s="1">
        <v>6.702</v>
      </c>
      <c r="I42" s="1">
        <v>6.4059999999999997</v>
      </c>
      <c r="J42" s="1">
        <v>6.6239999999999997</v>
      </c>
      <c r="K42" s="1">
        <v>6.4660000000000002</v>
      </c>
      <c r="L42" s="1">
        <f>AVERAGE(B42:K42)</f>
        <v>6.7441000000000004</v>
      </c>
      <c r="M42" s="1">
        <v>240949</v>
      </c>
    </row>
    <row r="44" spans="1:13" x14ac:dyDescent="0.25">
      <c r="B44" s="7" t="s">
        <v>11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 spans="1:13" x14ac:dyDescent="0.25">
      <c r="A45" s="3" t="s">
        <v>9</v>
      </c>
      <c r="B45" s="1">
        <v>1</v>
      </c>
      <c r="C45" s="1">
        <v>2</v>
      </c>
      <c r="D45" s="1">
        <v>3</v>
      </c>
      <c r="E45" s="1">
        <v>4</v>
      </c>
      <c r="F45" s="1">
        <v>5</v>
      </c>
      <c r="G45" s="1">
        <v>6</v>
      </c>
      <c r="H45" s="1">
        <v>7</v>
      </c>
      <c r="I45" s="1">
        <v>8</v>
      </c>
      <c r="J45" s="1">
        <v>9</v>
      </c>
      <c r="K45" s="1">
        <v>10</v>
      </c>
      <c r="L45" s="1" t="s">
        <v>8</v>
      </c>
      <c r="M45" s="1" t="s">
        <v>17</v>
      </c>
    </row>
    <row r="46" spans="1:13" x14ac:dyDescent="0.25">
      <c r="A46" s="3" t="s">
        <v>3</v>
      </c>
      <c r="B46" s="1">
        <v>1.635</v>
      </c>
      <c r="C46" s="1">
        <v>1.5609999999999999</v>
      </c>
      <c r="D46" s="1">
        <v>1.593</v>
      </c>
      <c r="E46" s="1">
        <v>1.5249999999999999</v>
      </c>
      <c r="F46" s="1">
        <v>1.484</v>
      </c>
      <c r="G46" s="1">
        <v>1.4910000000000001</v>
      </c>
      <c r="H46" s="1">
        <v>1.4350000000000001</v>
      </c>
      <c r="I46" s="1">
        <v>1.6739999999999999</v>
      </c>
      <c r="J46" s="1">
        <v>1.552</v>
      </c>
      <c r="K46" s="1">
        <v>1.57</v>
      </c>
      <c r="L46" s="1">
        <f>AVERAGE(B46:K46)</f>
        <v>1.552</v>
      </c>
      <c r="M46" s="1">
        <v>814122</v>
      </c>
    </row>
    <row r="47" spans="1:13" x14ac:dyDescent="0.25">
      <c r="A47" s="3" t="s">
        <v>4</v>
      </c>
      <c r="B47" s="1">
        <v>50.73</v>
      </c>
      <c r="C47" s="1">
        <v>25.795000000000002</v>
      </c>
      <c r="D47" s="1">
        <v>33.256</v>
      </c>
      <c r="E47" s="1">
        <v>24.081</v>
      </c>
      <c r="F47" s="1">
        <v>24.37</v>
      </c>
      <c r="G47" s="1">
        <v>26.594000000000001</v>
      </c>
      <c r="H47" s="1">
        <v>24.925999999999998</v>
      </c>
      <c r="I47" s="1">
        <v>24.792000000000002</v>
      </c>
      <c r="J47" s="1">
        <v>23.780999999999999</v>
      </c>
      <c r="K47" s="1">
        <v>25.387</v>
      </c>
      <c r="L47" s="1">
        <f>AVERAGE(B47:K47)</f>
        <v>28.371199999999998</v>
      </c>
      <c r="M47" s="1">
        <v>814122</v>
      </c>
    </row>
    <row r="48" spans="1:13" x14ac:dyDescent="0.25">
      <c r="A48" s="3" t="s">
        <v>5</v>
      </c>
      <c r="B48" s="1">
        <v>33.542000000000002</v>
      </c>
      <c r="C48" s="1">
        <v>34.146999999999998</v>
      </c>
      <c r="D48" s="1">
        <v>34.21</v>
      </c>
      <c r="E48" s="1">
        <v>33.317999999999998</v>
      </c>
      <c r="F48" s="1">
        <v>35.713000000000001</v>
      </c>
      <c r="G48" s="1">
        <v>36.479999999999997</v>
      </c>
      <c r="H48" s="1">
        <v>33.959000000000003</v>
      </c>
      <c r="I48" s="1">
        <v>33.459000000000003</v>
      </c>
      <c r="J48" s="1">
        <v>34.555</v>
      </c>
      <c r="K48" s="1">
        <v>34.398000000000003</v>
      </c>
      <c r="L48" s="1">
        <f>AVERAGE(B48:K48)</f>
        <v>34.378100000000003</v>
      </c>
      <c r="M48" s="1">
        <v>814122</v>
      </c>
    </row>
    <row r="49" spans="1:13" x14ac:dyDescent="0.25">
      <c r="A49" s="3" t="s">
        <v>6</v>
      </c>
      <c r="B49" s="1">
        <v>50.683</v>
      </c>
      <c r="C49" s="1">
        <v>53.917999999999999</v>
      </c>
      <c r="D49" s="1">
        <v>51.317</v>
      </c>
      <c r="E49" s="1">
        <v>50.415999999999997</v>
      </c>
      <c r="F49" s="1">
        <v>50.917999999999999</v>
      </c>
      <c r="G49" s="1">
        <v>50.692999999999998</v>
      </c>
      <c r="H49" s="1">
        <v>50.76</v>
      </c>
      <c r="I49" s="1">
        <v>50.936</v>
      </c>
      <c r="J49" s="1">
        <v>50.365000000000002</v>
      </c>
      <c r="K49" s="1">
        <v>52.921999999999997</v>
      </c>
      <c r="L49" s="1">
        <f>AVERAGE(B49:K49)</f>
        <v>51.2928</v>
      </c>
      <c r="M49" s="1">
        <v>814122</v>
      </c>
    </row>
    <row r="51" spans="1:13" x14ac:dyDescent="0.25">
      <c r="B51" s="7" t="s">
        <v>12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 spans="1:13" x14ac:dyDescent="0.25">
      <c r="A52" s="3" t="s">
        <v>9</v>
      </c>
      <c r="B52" s="1">
        <v>1</v>
      </c>
      <c r="C52" s="1">
        <v>2</v>
      </c>
      <c r="D52" s="1">
        <v>3</v>
      </c>
      <c r="E52" s="1">
        <v>4</v>
      </c>
      <c r="F52" s="1">
        <v>5</v>
      </c>
      <c r="G52" s="1">
        <v>6</v>
      </c>
      <c r="H52" s="1">
        <v>7</v>
      </c>
      <c r="I52" s="1">
        <v>8</v>
      </c>
      <c r="J52" s="1">
        <v>9</v>
      </c>
      <c r="K52" s="1">
        <v>10</v>
      </c>
      <c r="L52" s="1" t="s">
        <v>8</v>
      </c>
      <c r="M52" s="1" t="s">
        <v>17</v>
      </c>
    </row>
    <row r="53" spans="1:13" x14ac:dyDescent="0.25">
      <c r="A53" s="3" t="s">
        <v>3</v>
      </c>
      <c r="B53" s="1">
        <v>2.306</v>
      </c>
      <c r="C53" s="1">
        <v>2.6320000000000001</v>
      </c>
      <c r="D53" s="1">
        <v>2.2829999999999999</v>
      </c>
      <c r="E53" s="1">
        <v>2.4329999999999998</v>
      </c>
      <c r="F53" s="1">
        <v>2.3530000000000002</v>
      </c>
      <c r="G53" s="1">
        <v>2.3959999999999999</v>
      </c>
      <c r="H53" s="1">
        <v>2.2490000000000001</v>
      </c>
      <c r="I53" s="1">
        <v>2.5659999999999998</v>
      </c>
      <c r="J53" s="1">
        <v>2.5529999999999999</v>
      </c>
      <c r="K53" s="1">
        <v>2.4449999999999998</v>
      </c>
      <c r="L53" s="1">
        <f>AVERAGE(B53:K53)</f>
        <v>2.4215999999999998</v>
      </c>
      <c r="M53" s="1">
        <v>1051030</v>
      </c>
    </row>
    <row r="54" spans="1:13" x14ac:dyDescent="0.25">
      <c r="A54" s="3" t="s">
        <v>4</v>
      </c>
      <c r="B54" s="1">
        <v>84.95</v>
      </c>
      <c r="C54" s="1">
        <v>19.603999999999999</v>
      </c>
      <c r="D54" s="1">
        <v>20.89</v>
      </c>
      <c r="E54" s="1">
        <v>17.632000000000001</v>
      </c>
      <c r="F54" s="1">
        <v>17.361999999999998</v>
      </c>
      <c r="G54" s="1">
        <v>18.946000000000002</v>
      </c>
      <c r="H54" s="1">
        <v>18.132000000000001</v>
      </c>
      <c r="I54" s="1">
        <v>19.100999999999999</v>
      </c>
      <c r="J54" s="1">
        <v>17.574999999999999</v>
      </c>
      <c r="K54" s="1">
        <v>18.085999999999999</v>
      </c>
      <c r="L54" s="1">
        <f>AVERAGE(B54:K54)</f>
        <v>25.227799999999995</v>
      </c>
      <c r="M54" s="1">
        <v>1051030</v>
      </c>
    </row>
    <row r="55" spans="1:13" x14ac:dyDescent="0.25">
      <c r="A55" s="3" t="s">
        <v>5</v>
      </c>
      <c r="B55" s="1">
        <v>84.057000000000002</v>
      </c>
      <c r="C55" s="1">
        <v>83.819000000000003</v>
      </c>
      <c r="D55" s="1">
        <v>87.9</v>
      </c>
      <c r="E55" s="1">
        <v>83.581999999999994</v>
      </c>
      <c r="F55" s="1">
        <v>79.046000000000006</v>
      </c>
      <c r="G55" s="1">
        <v>69.576999999999998</v>
      </c>
      <c r="H55" s="1">
        <v>79.350999999999999</v>
      </c>
      <c r="I55" s="1">
        <v>76.429000000000002</v>
      </c>
      <c r="J55" s="1">
        <v>77.981999999999999</v>
      </c>
      <c r="K55" s="4">
        <v>82.072999999999993</v>
      </c>
      <c r="L55" s="1">
        <f>AVERAGE(B55:K55)</f>
        <v>80.381599999999992</v>
      </c>
      <c r="M55" s="1">
        <v>1051030</v>
      </c>
    </row>
    <row r="56" spans="1:13" x14ac:dyDescent="0.25">
      <c r="A56" s="3" t="s">
        <v>6</v>
      </c>
      <c r="B56" s="1">
        <v>72.956999999999994</v>
      </c>
      <c r="C56" s="1">
        <v>74.742999999999995</v>
      </c>
      <c r="D56" s="1">
        <v>78.183000000000007</v>
      </c>
      <c r="E56" s="1">
        <v>73.454999999999998</v>
      </c>
      <c r="F56" s="1">
        <v>70.302999999999997</v>
      </c>
      <c r="G56" s="1">
        <v>71.822000000000003</v>
      </c>
      <c r="H56" s="1">
        <v>71.528999999999996</v>
      </c>
      <c r="I56" s="1">
        <v>72.44</v>
      </c>
      <c r="J56" s="1">
        <v>70.861999999999995</v>
      </c>
      <c r="K56" s="1">
        <v>72.620999999999995</v>
      </c>
      <c r="L56" s="1">
        <f>AVERAGE(B56:K56)</f>
        <v>72.891499999999994</v>
      </c>
      <c r="M56" s="1">
        <v>1051030</v>
      </c>
    </row>
    <row r="58" spans="1:13" x14ac:dyDescent="0.25">
      <c r="B58" s="7" t="s">
        <v>22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spans="1:13" x14ac:dyDescent="0.25">
      <c r="A59" s="3" t="s">
        <v>9</v>
      </c>
      <c r="B59" s="1">
        <v>1</v>
      </c>
      <c r="C59" s="1">
        <v>2</v>
      </c>
      <c r="D59" s="1">
        <v>3</v>
      </c>
      <c r="E59" s="1">
        <v>4</v>
      </c>
      <c r="F59" s="1">
        <v>5</v>
      </c>
      <c r="G59" s="1">
        <v>6</v>
      </c>
      <c r="H59" s="1">
        <v>7</v>
      </c>
      <c r="I59" s="1">
        <v>8</v>
      </c>
      <c r="J59" s="1">
        <v>9</v>
      </c>
      <c r="K59" s="1">
        <v>10</v>
      </c>
      <c r="L59" s="1" t="s">
        <v>8</v>
      </c>
      <c r="M59" s="1" t="s">
        <v>17</v>
      </c>
    </row>
    <row r="60" spans="1:13" x14ac:dyDescent="0.25">
      <c r="A60" s="3" t="s">
        <v>3</v>
      </c>
      <c r="B60" s="1">
        <v>6.3E-2</v>
      </c>
      <c r="C60" s="1">
        <v>5.0000000000000001E-3</v>
      </c>
      <c r="D60" s="1">
        <v>5.0000000000000001E-3</v>
      </c>
      <c r="E60" s="1">
        <v>7.0000000000000001E-3</v>
      </c>
      <c r="F60" s="1">
        <v>1E-3</v>
      </c>
      <c r="G60" s="1">
        <v>1E-3</v>
      </c>
      <c r="H60" s="1">
        <v>4.0000000000000001E-3</v>
      </c>
      <c r="I60" s="1">
        <v>7.0000000000000001E-3</v>
      </c>
      <c r="J60" s="1">
        <v>1.4999999999999999E-2</v>
      </c>
      <c r="K60" s="1">
        <v>2.8000000000000001E-2</v>
      </c>
      <c r="L60" s="1">
        <f>AVERAGE(B60:K60)</f>
        <v>1.3600000000000004E-2</v>
      </c>
      <c r="M60" s="10" t="s">
        <v>32</v>
      </c>
    </row>
    <row r="61" spans="1:13" x14ac:dyDescent="0.25">
      <c r="A61" s="3" t="s">
        <v>4</v>
      </c>
      <c r="B61" s="1">
        <v>6.0000000000000001E-3</v>
      </c>
      <c r="C61" s="1">
        <v>1E-3</v>
      </c>
      <c r="D61" s="1">
        <v>1E-3</v>
      </c>
      <c r="E61" s="1">
        <v>1E-3</v>
      </c>
      <c r="F61" s="1">
        <v>2E-3</v>
      </c>
      <c r="G61" s="1">
        <v>1E-3</v>
      </c>
      <c r="H61" s="1">
        <v>2E-3</v>
      </c>
      <c r="I61" s="1">
        <v>1E-3</v>
      </c>
      <c r="J61" s="1">
        <v>1E-3</v>
      </c>
      <c r="K61" s="1">
        <v>1E-3</v>
      </c>
      <c r="L61" s="1">
        <f>AVERAGE(B61:K61)</f>
        <v>1.7000000000000001E-3</v>
      </c>
      <c r="M61" s="10" t="s">
        <v>32</v>
      </c>
    </row>
    <row r="62" spans="1:13" x14ac:dyDescent="0.25">
      <c r="A62" s="3" t="s">
        <v>5</v>
      </c>
      <c r="B62" s="1">
        <v>0.217</v>
      </c>
      <c r="C62" s="1">
        <v>9.5000000000000001E-2</v>
      </c>
      <c r="D62" s="1">
        <v>0.106</v>
      </c>
      <c r="E62" s="1">
        <v>8.1000000000000003E-2</v>
      </c>
      <c r="F62" s="1">
        <v>8.6999999999999994E-2</v>
      </c>
      <c r="G62" s="1">
        <v>0.10199999999999999</v>
      </c>
      <c r="H62" s="1">
        <v>7.8E-2</v>
      </c>
      <c r="I62" s="1">
        <v>0.10199999999999999</v>
      </c>
      <c r="J62" s="1">
        <v>8.2000000000000003E-2</v>
      </c>
      <c r="K62" s="4">
        <v>0.113</v>
      </c>
      <c r="L62" s="1">
        <f>AVERAGE(B62:K62)</f>
        <v>0.10629999999999999</v>
      </c>
      <c r="M62" s="10" t="s">
        <v>32</v>
      </c>
    </row>
    <row r="63" spans="1:13" x14ac:dyDescent="0.25">
      <c r="A63" s="3" t="s">
        <v>6</v>
      </c>
      <c r="B63" s="1">
        <v>0.04</v>
      </c>
      <c r="C63" s="1">
        <v>2.1000000000000001E-2</v>
      </c>
      <c r="D63" s="1">
        <v>2.3E-2</v>
      </c>
      <c r="E63" s="1">
        <v>1.4999999999999999E-2</v>
      </c>
      <c r="F63" s="1">
        <v>1.7000000000000001E-2</v>
      </c>
      <c r="G63" s="1">
        <v>1.4999999999999999E-2</v>
      </c>
      <c r="H63" s="1">
        <v>1.2999999999999999E-2</v>
      </c>
      <c r="I63" s="1">
        <v>1.6E-2</v>
      </c>
      <c r="J63" s="1">
        <v>1.7000000000000001E-2</v>
      </c>
      <c r="K63" s="1">
        <v>0.02</v>
      </c>
      <c r="L63" s="1">
        <f>AVERAGE(B63:K63)</f>
        <v>1.9700000000000002E-2</v>
      </c>
      <c r="M63" s="10" t="s">
        <v>32</v>
      </c>
    </row>
    <row r="65" spans="1:13" x14ac:dyDescent="0.25">
      <c r="B65" s="7" t="s">
        <v>23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spans="1:13" x14ac:dyDescent="0.25">
      <c r="A66" s="3" t="s">
        <v>9</v>
      </c>
      <c r="B66" s="1">
        <v>1</v>
      </c>
      <c r="C66" s="1">
        <v>2</v>
      </c>
      <c r="D66" s="1">
        <v>3</v>
      </c>
      <c r="E66" s="1">
        <v>4</v>
      </c>
      <c r="F66" s="1">
        <v>5</v>
      </c>
      <c r="G66" s="1">
        <v>6</v>
      </c>
      <c r="H66" s="1">
        <v>7</v>
      </c>
      <c r="I66" s="1">
        <v>8</v>
      </c>
      <c r="J66" s="1">
        <v>9</v>
      </c>
      <c r="K66" s="1">
        <v>10</v>
      </c>
      <c r="L66" s="1" t="s">
        <v>8</v>
      </c>
      <c r="M66" s="1" t="s">
        <v>17</v>
      </c>
    </row>
    <row r="67" spans="1:13" x14ac:dyDescent="0.25">
      <c r="A67" s="3" t="s">
        <v>3</v>
      </c>
      <c r="B67" s="1">
        <v>4.7E-2</v>
      </c>
      <c r="C67" s="1">
        <v>1.7000000000000001E-2</v>
      </c>
      <c r="D67" s="1">
        <v>1E-3</v>
      </c>
      <c r="E67" s="1">
        <v>1.4999999999999999E-2</v>
      </c>
      <c r="F67" s="1">
        <v>1E-3</v>
      </c>
      <c r="G67" s="1">
        <v>1.6E-2</v>
      </c>
      <c r="H67" s="1">
        <v>1.7000000000000001E-2</v>
      </c>
      <c r="I67" s="1">
        <v>1.0999999999999999E-2</v>
      </c>
      <c r="J67" s="1">
        <v>3.4000000000000002E-2</v>
      </c>
      <c r="K67" s="1">
        <v>1.6E-2</v>
      </c>
      <c r="L67" s="1">
        <f>AVERAGE(B67:K67)</f>
        <v>1.7499999999999998E-2</v>
      </c>
      <c r="M67" s="1" t="s">
        <v>25</v>
      </c>
    </row>
    <row r="68" spans="1:13" ht="16.5" x14ac:dyDescent="0.3">
      <c r="A68" s="3" t="s">
        <v>4</v>
      </c>
      <c r="B68" s="1"/>
      <c r="C68" s="5"/>
      <c r="D68" s="1"/>
      <c r="E68" s="1"/>
      <c r="F68" s="1"/>
      <c r="G68" s="1"/>
      <c r="H68" s="1"/>
      <c r="I68" s="1"/>
      <c r="J68" s="1"/>
      <c r="K68" s="1"/>
      <c r="L68" s="1" t="e">
        <f>AVERAGE(B68:K68)</f>
        <v>#DIV/0!</v>
      </c>
      <c r="M68" s="1" t="s">
        <v>24</v>
      </c>
    </row>
    <row r="69" spans="1:13" x14ac:dyDescent="0.25">
      <c r="A69" s="3" t="s">
        <v>5</v>
      </c>
      <c r="B69" s="1"/>
      <c r="C69" s="1"/>
      <c r="D69" s="1"/>
      <c r="E69" s="1"/>
      <c r="F69" s="1"/>
      <c r="G69" s="1"/>
      <c r="H69" s="1"/>
      <c r="I69" s="1"/>
      <c r="J69" s="1"/>
      <c r="K69" s="4"/>
      <c r="L69" s="1" t="e">
        <f>AVERAGE(B69:K69)</f>
        <v>#DIV/0!</v>
      </c>
      <c r="M69" s="1" t="s">
        <v>24</v>
      </c>
    </row>
    <row r="70" spans="1:13" x14ac:dyDescent="0.25">
      <c r="A70" s="3" t="s">
        <v>6</v>
      </c>
      <c r="B70" s="1">
        <v>1.4570000000000001</v>
      </c>
      <c r="C70" s="1">
        <v>1.226</v>
      </c>
      <c r="D70" s="1">
        <v>1.25</v>
      </c>
      <c r="E70" s="1">
        <v>1.292</v>
      </c>
      <c r="F70" s="1">
        <v>1.3180000000000001</v>
      </c>
      <c r="G70" s="1">
        <v>1.3109999999999999</v>
      </c>
      <c r="H70" s="1">
        <v>1.395</v>
      </c>
      <c r="I70" s="1">
        <v>1.25</v>
      </c>
      <c r="J70" s="1">
        <v>1.343</v>
      </c>
      <c r="K70" s="1">
        <v>1.256</v>
      </c>
      <c r="L70" s="1">
        <f>AVERAGE(B70:K70)</f>
        <v>1.3097999999999999</v>
      </c>
      <c r="M70" s="1" t="s">
        <v>25</v>
      </c>
    </row>
    <row r="73" spans="1:13" x14ac:dyDescent="0.25">
      <c r="A73" t="s">
        <v>7</v>
      </c>
      <c r="B73" s="9" t="s">
        <v>18</v>
      </c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</row>
    <row r="74" spans="1:13" x14ac:dyDescent="0.25">
      <c r="A74" t="s">
        <v>10</v>
      </c>
      <c r="B74" s="9" t="s">
        <v>19</v>
      </c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</row>
    <row r="75" spans="1:13" x14ac:dyDescent="0.25">
      <c r="A75" t="s">
        <v>11</v>
      </c>
      <c r="B75" s="9" t="s">
        <v>20</v>
      </c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</row>
    <row r="76" spans="1:13" x14ac:dyDescent="0.25">
      <c r="A76" t="s">
        <v>12</v>
      </c>
      <c r="B76" s="9" t="s">
        <v>21</v>
      </c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</row>
    <row r="77" spans="1:13" x14ac:dyDescent="0.25">
      <c r="A77" t="s">
        <v>22</v>
      </c>
      <c r="B77" s="9" t="s">
        <v>27</v>
      </c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</row>
    <row r="78" spans="1:13" x14ac:dyDescent="0.25">
      <c r="A78" t="s">
        <v>23</v>
      </c>
      <c r="B78" s="9" t="s">
        <v>26</v>
      </c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</row>
  </sheetData>
  <mergeCells count="16">
    <mergeCell ref="B6:L6"/>
    <mergeCell ref="B12:L12"/>
    <mergeCell ref="B18:L18"/>
    <mergeCell ref="B24:L24"/>
    <mergeCell ref="B78:M78"/>
    <mergeCell ref="B30:M30"/>
    <mergeCell ref="B51:M51"/>
    <mergeCell ref="B44:M44"/>
    <mergeCell ref="B37:M37"/>
    <mergeCell ref="B73:M73"/>
    <mergeCell ref="B74:M74"/>
    <mergeCell ref="B75:M75"/>
    <mergeCell ref="B76:M76"/>
    <mergeCell ref="B77:M77"/>
    <mergeCell ref="B58:M58"/>
    <mergeCell ref="B65:M65"/>
  </mergeCells>
  <phoneticPr fontId="3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Gaja</dc:creator>
  <cp:lastModifiedBy>Jan Gaja</cp:lastModifiedBy>
  <dcterms:created xsi:type="dcterms:W3CDTF">2024-02-26T08:20:41Z</dcterms:created>
  <dcterms:modified xsi:type="dcterms:W3CDTF">2024-03-18T20:18:17Z</dcterms:modified>
</cp:coreProperties>
</file>