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jaj\Desktop\School\Bachelor\graph_databases\"/>
    </mc:Choice>
  </mc:AlternateContent>
  <xr:revisionPtr revIDLastSave="0" documentId="13_ncr:1_{4EF6AA7A-1E35-4139-BFD4-CDAA0CF3BCB2}" xr6:coauthVersionLast="47" xr6:coauthVersionMax="47" xr10:uidLastSave="{00000000-0000-0000-0000-000000000000}"/>
  <bookViews>
    <workbookView xWindow="-120" yWindow="-120" windowWidth="29040" windowHeight="15720" xr2:uid="{3EE48DE2-4E6F-4460-AB34-FCF8C4BDC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" l="1"/>
  <c r="L28" i="1"/>
  <c r="L27" i="1"/>
  <c r="L20" i="1"/>
  <c r="L14" i="1"/>
  <c r="L13" i="1"/>
  <c r="L32" i="1"/>
  <c r="L26" i="1"/>
  <c r="L25" i="1"/>
  <c r="L11" i="1"/>
  <c r="L33" i="1"/>
  <c r="L19" i="1"/>
  <c r="L18" i="1"/>
  <c r="L12" i="1"/>
  <c r="L35" i="1"/>
  <c r="L21" i="1"/>
</calcChain>
</file>

<file path=xl/sharedStrings.xml><?xml version="1.0" encoding="utf-8"?>
<sst xmlns="http://schemas.openxmlformats.org/spreadsheetml/2006/main" count="51" uniqueCount="24">
  <si>
    <t>Neo4j</t>
  </si>
  <si>
    <t>ArangoDB</t>
  </si>
  <si>
    <t>OrientDB</t>
  </si>
  <si>
    <t>Cypher</t>
  </si>
  <si>
    <t>AQL</t>
  </si>
  <si>
    <t>Gremlin</t>
  </si>
  <si>
    <t>SQL - OrientDB</t>
  </si>
  <si>
    <t>Q1</t>
  </si>
  <si>
    <t>AVG</t>
  </si>
  <si>
    <t>Pokus</t>
  </si>
  <si>
    <t>Q2</t>
  </si>
  <si>
    <t>Q3</t>
  </si>
  <si>
    <t>Q4</t>
  </si>
  <si>
    <t>insert V</t>
  </si>
  <si>
    <t>insert E</t>
  </si>
  <si>
    <t>delete V</t>
  </si>
  <si>
    <t>delete E</t>
  </si>
  <si>
    <t>delete all</t>
  </si>
  <si>
    <t>spočítá všechny sousedy do hloubky 5</t>
  </si>
  <si>
    <t>výsledek</t>
  </si>
  <si>
    <t>spočítá všechny sousedy vrcholu s id 1 do hloubky 2</t>
  </si>
  <si>
    <t>spočítá všechny sousedy  vrcholu s id 1 do hloubky 3</t>
  </si>
  <si>
    <t>spočítá všechny sousedy vrcholu s id 1 do hloubky 4</t>
  </si>
  <si>
    <t>další měření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</si>
</sst>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  <charset val="238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  <xf numFmtId="0" fontId="3" fillId="3" borderId="0" xfId="0" applyFont="1" applyFill="1"/>
    <xf numFmtId="0" fontId="1" fillId="2" borderId="0" xfId="0" applyFont="1" applyFill="1"/>
    <xf numFmtId="0" fontId="1" fillId="3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0" borderId="2" xfId="0" applyFill="1" applyBorder="1"/>
    <xf numFmtId="0" fontId="0" fillId="0" borderId="1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Q1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Cypher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Sheet1!$B$10:$L$10</c15:sqref>
                  </c15:fullRef>
                </c:ext>
              </c:extLst>
              <c:f>Sheet1!$B$10:$K$10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Sheet1!$B$11:$L$11</c15:sqref>
                  </c15:fullRef>
                </c:ext>
              </c:extLst>
              <c:f>Sheet1!$B$11:$K$11</c:f>
              <c:numCache>
                <c:formatCode>General</c:formatCode>
                <c:ptCount val="10"/>
                <c:pt idx="0">
                  <c:v>5.0000000000000001E-3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0.03</c:v>
                </c:pt>
                <c:pt idx="4">
                  <c:v>7.0000000000000001E-3</c:v>
                </c:pt>
                <c:pt idx="5">
                  <c:v>6.0000000000000001E-3</c:v>
                </c:pt>
                <c:pt idx="6">
                  <c:v>8.0000000000000002E-3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6.0000000000000001E-3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D-4E4A-A294-058EA57618F0}"/>
            </c:ext>
          </c:extLst>
        </c:ser>
        <c:ser>
          <c:idx val="1"/>
          <c:order val="1"/>
          <c:tx>
            <c:strRef>
              <c:f>Sheet1!$A$12</c:f>
              <c:strCache>
                <c:ptCount val="1"/>
                <c:pt idx="0">
                  <c:v>AQL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Sheet1!$B$10:$L$10</c15:sqref>
                  </c15:fullRef>
                </c:ext>
              </c:extLst>
              <c:f>Sheet1!$B$10:$K$10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Sheet1!$B$12:$L$12</c15:sqref>
                  </c15:fullRef>
                </c:ext>
              </c:extLst>
              <c:f>Sheet1!$B$12:$K$12</c:f>
              <c:numCache>
                <c:formatCode>General</c:formatCode>
                <c:ptCount val="10"/>
                <c:pt idx="0">
                  <c:v>0.15</c:v>
                </c:pt>
                <c:pt idx="1">
                  <c:v>0.153</c:v>
                </c:pt>
                <c:pt idx="2">
                  <c:v>0.161</c:v>
                </c:pt>
                <c:pt idx="3">
                  <c:v>0.22</c:v>
                </c:pt>
                <c:pt idx="4">
                  <c:v>0.17699999999999999</c:v>
                </c:pt>
                <c:pt idx="5">
                  <c:v>0.218</c:v>
                </c:pt>
                <c:pt idx="6">
                  <c:v>0.17899999999999999</c:v>
                </c:pt>
                <c:pt idx="7">
                  <c:v>0.17199999999999999</c:v>
                </c:pt>
                <c:pt idx="8">
                  <c:v>0.17</c:v>
                </c:pt>
                <c:pt idx="9">
                  <c:v>0.14099999999999999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D-4E4A-A294-058EA57618F0}"/>
            </c:ext>
          </c:extLst>
        </c:ser>
        <c:ser>
          <c:idx val="2"/>
          <c:order val="2"/>
          <c:tx>
            <c:strRef>
              <c:f>Sheet1!$A$13</c:f>
              <c:strCache>
                <c:ptCount val="1"/>
                <c:pt idx="0">
                  <c:v>Gremlin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Sheet1!$B$10:$L$10</c15:sqref>
                  </c15:fullRef>
                </c:ext>
              </c:extLst>
              <c:f>Sheet1!$B$10:$K$10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Sheet1!$B$13:$L$13</c15:sqref>
                  </c15:fullRef>
                </c:ext>
              </c:extLst>
              <c:f>Sheet1!$B$13:$K$13</c:f>
              <c:numCache>
                <c:formatCode>General</c:formatCode>
                <c:ptCount val="10"/>
                <c:pt idx="0">
                  <c:v>2.7E-2</c:v>
                </c:pt>
                <c:pt idx="1">
                  <c:v>0.02</c:v>
                </c:pt>
                <c:pt idx="2">
                  <c:v>3.1E-2</c:v>
                </c:pt>
                <c:pt idx="3">
                  <c:v>2.1000000000000001E-2</c:v>
                </c:pt>
                <c:pt idx="4">
                  <c:v>2.1000000000000001E-2</c:v>
                </c:pt>
                <c:pt idx="5">
                  <c:v>3.2000000000000001E-2</c:v>
                </c:pt>
                <c:pt idx="6">
                  <c:v>2.7E-2</c:v>
                </c:pt>
                <c:pt idx="7">
                  <c:v>2.1000000000000001E-2</c:v>
                </c:pt>
                <c:pt idx="8">
                  <c:v>2.1000000000000001E-2</c:v>
                </c:pt>
                <c:pt idx="9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CD-4E4A-A294-058EA57618F0}"/>
            </c:ext>
          </c:extLst>
        </c:ser>
        <c:ser>
          <c:idx val="3"/>
          <c:order val="3"/>
          <c:tx>
            <c:strRef>
              <c:f>Sheet1!$A$14</c:f>
              <c:strCache>
                <c:ptCount val="1"/>
                <c:pt idx="0">
                  <c:v>SQL - OrientDB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Sheet1!$B$10:$L$10</c15:sqref>
                  </c15:fullRef>
                </c:ext>
              </c:extLst>
              <c:f>Sheet1!$B$10:$K$10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Sheet1!$B$14:$L$14</c15:sqref>
                  </c15:fullRef>
                </c:ext>
              </c:extLst>
              <c:f>Sheet1!$B$14:$K$14</c:f>
              <c:numCache>
                <c:formatCode>General</c:formatCode>
                <c:ptCount val="10"/>
                <c:pt idx="0">
                  <c:v>0.17199999999999999</c:v>
                </c:pt>
                <c:pt idx="1">
                  <c:v>0.20100000000000001</c:v>
                </c:pt>
                <c:pt idx="2">
                  <c:v>0.219</c:v>
                </c:pt>
                <c:pt idx="3">
                  <c:v>0.187</c:v>
                </c:pt>
                <c:pt idx="4">
                  <c:v>0.86</c:v>
                </c:pt>
                <c:pt idx="5">
                  <c:v>0.23400000000000001</c:v>
                </c:pt>
                <c:pt idx="6">
                  <c:v>0.25</c:v>
                </c:pt>
                <c:pt idx="7">
                  <c:v>0.20300000000000001</c:v>
                </c:pt>
                <c:pt idx="8">
                  <c:v>0.20300000000000001</c:v>
                </c:pt>
                <c:pt idx="9">
                  <c:v>0.23400000000000001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CD-4E4A-A294-058EA5761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487775"/>
        <c:axId val="1089165247"/>
      </c:lineChart>
      <c:catAx>
        <c:axId val="109048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165247"/>
        <c:crosses val="autoZero"/>
        <c:auto val="1"/>
        <c:lblAlgn val="ctr"/>
        <c:lblOffset val="100"/>
        <c:noMultiLvlLbl val="0"/>
      </c:catAx>
      <c:valAx>
        <c:axId val="108916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  [s]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8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Q2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Sheet1!$A$18</c:f>
              <c:strCache>
                <c:ptCount val="1"/>
                <c:pt idx="0">
                  <c:v>Cypher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Sheet1!$B$18:$K$18</c:f>
              <c:numCache>
                <c:formatCode>General</c:formatCode>
                <c:ptCount val="10"/>
                <c:pt idx="0">
                  <c:v>0.28799999999999998</c:v>
                </c:pt>
                <c:pt idx="1">
                  <c:v>0.247</c:v>
                </c:pt>
                <c:pt idx="2">
                  <c:v>0.24399999999999999</c:v>
                </c:pt>
                <c:pt idx="3">
                  <c:v>0.20599999999999999</c:v>
                </c:pt>
                <c:pt idx="4">
                  <c:v>0.23100000000000001</c:v>
                </c:pt>
                <c:pt idx="5">
                  <c:v>0.26</c:v>
                </c:pt>
                <c:pt idx="6">
                  <c:v>0.32700000000000001</c:v>
                </c:pt>
                <c:pt idx="7">
                  <c:v>0.24199999999999999</c:v>
                </c:pt>
                <c:pt idx="8">
                  <c:v>0.23200000000000001</c:v>
                </c:pt>
                <c:pt idx="9">
                  <c:v>0.23300000000000001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63-4D86-AB87-E84023D1D9B8}"/>
            </c:ext>
          </c:extLst>
        </c:ser>
        <c:ser>
          <c:idx val="2"/>
          <c:order val="2"/>
          <c:tx>
            <c:strRef>
              <c:f>Sheet1!$A$19</c:f>
              <c:strCache>
                <c:ptCount val="1"/>
                <c:pt idx="0">
                  <c:v>AQL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Sheet1!$B$19:$K$19</c:f>
              <c:numCache>
                <c:formatCode>General</c:formatCode>
                <c:ptCount val="10"/>
                <c:pt idx="0">
                  <c:v>9.6039999999999992</c:v>
                </c:pt>
                <c:pt idx="1">
                  <c:v>6.3339999999999996</c:v>
                </c:pt>
                <c:pt idx="2">
                  <c:v>6.1139999999999999</c:v>
                </c:pt>
                <c:pt idx="3">
                  <c:v>6.1120000000000001</c:v>
                </c:pt>
                <c:pt idx="4">
                  <c:v>6.2460000000000004</c:v>
                </c:pt>
                <c:pt idx="5">
                  <c:v>6.306</c:v>
                </c:pt>
                <c:pt idx="6">
                  <c:v>6.3019999999999996</c:v>
                </c:pt>
                <c:pt idx="7">
                  <c:v>12.12</c:v>
                </c:pt>
                <c:pt idx="8">
                  <c:v>5.859</c:v>
                </c:pt>
                <c:pt idx="9">
                  <c:v>5.6890000000000001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63-4D86-AB87-E84023D1D9B8}"/>
            </c:ext>
          </c:extLst>
        </c:ser>
        <c:ser>
          <c:idx val="3"/>
          <c:order val="3"/>
          <c:tx>
            <c:strRef>
              <c:f>Sheet1!$A$20</c:f>
              <c:strCache>
                <c:ptCount val="1"/>
                <c:pt idx="0">
                  <c:v>Gremlin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Sheet1!$B$20:$K$20</c:f>
              <c:numCache>
                <c:formatCode>General</c:formatCode>
                <c:ptCount val="10"/>
                <c:pt idx="0">
                  <c:v>5.2859999999999996</c:v>
                </c:pt>
                <c:pt idx="1">
                  <c:v>5.7279999999999998</c:v>
                </c:pt>
                <c:pt idx="2">
                  <c:v>5.4749999999999996</c:v>
                </c:pt>
                <c:pt idx="3">
                  <c:v>5.5940000000000003</c:v>
                </c:pt>
                <c:pt idx="4">
                  <c:v>5.1379999999999999</c:v>
                </c:pt>
                <c:pt idx="5">
                  <c:v>5.0979999999999999</c:v>
                </c:pt>
                <c:pt idx="6">
                  <c:v>5.2</c:v>
                </c:pt>
                <c:pt idx="7">
                  <c:v>5.0629999999999997</c:v>
                </c:pt>
                <c:pt idx="8">
                  <c:v>5.5659999999999998</c:v>
                </c:pt>
                <c:pt idx="9">
                  <c:v>5.7160000000000002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63-4D86-AB87-E84023D1D9B8}"/>
            </c:ext>
          </c:extLst>
        </c:ser>
        <c:ser>
          <c:idx val="4"/>
          <c:order val="4"/>
          <c:tx>
            <c:strRef>
              <c:f>Sheet1!$A$21</c:f>
              <c:strCache>
                <c:ptCount val="1"/>
                <c:pt idx="0">
                  <c:v>SQL - OrientDB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Sheet1!$B$21:$K$21</c:f>
              <c:numCache>
                <c:formatCode>General</c:formatCode>
                <c:ptCount val="10"/>
                <c:pt idx="0">
                  <c:v>9.5960000000000001</c:v>
                </c:pt>
                <c:pt idx="1">
                  <c:v>8.9090000000000007</c:v>
                </c:pt>
                <c:pt idx="2">
                  <c:v>8.9260000000000002</c:v>
                </c:pt>
                <c:pt idx="3">
                  <c:v>9.1210000000000004</c:v>
                </c:pt>
                <c:pt idx="4">
                  <c:v>9.1129999999999995</c:v>
                </c:pt>
                <c:pt idx="5">
                  <c:v>9.1270000000000007</c:v>
                </c:pt>
                <c:pt idx="6">
                  <c:v>9.0960000000000001</c:v>
                </c:pt>
                <c:pt idx="7">
                  <c:v>8.9380000000000006</c:v>
                </c:pt>
                <c:pt idx="8">
                  <c:v>8.9719999999999995</c:v>
                </c:pt>
                <c:pt idx="9">
                  <c:v>8.8469999999999995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63-4D86-AB87-E84023D1D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614431"/>
        <c:axId val="1088557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Sheet1!$A$17</c15:sqref>
                        </c15:formulaRef>
                      </c:ext>
                    </c:extLst>
                    <c:strCache>
                      <c:ptCount val="1"/>
                      <c:pt idx="0">
                        <c:v>Pokus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Sheet1!$B$17:$K$17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763-4D86-AB87-E84023D1D9B8}"/>
                  </c:ext>
                </c:extLst>
              </c15:ser>
            </c15:filteredLineSeries>
          </c:ext>
        </c:extLst>
      </c:lineChart>
      <c:catAx>
        <c:axId val="1090614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57167"/>
        <c:crosses val="autoZero"/>
        <c:auto val="1"/>
        <c:lblAlgn val="ctr"/>
        <c:lblOffset val="100"/>
        <c:noMultiLvlLbl val="0"/>
      </c:catAx>
      <c:valAx>
        <c:axId val="10885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</a:t>
                </a:r>
                <a:r>
                  <a:rPr lang="cs-CZ" baseline="0"/>
                  <a:t> [s]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61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Q3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Sheet1!$A$25</c:f>
              <c:strCache>
                <c:ptCount val="1"/>
                <c:pt idx="0">
                  <c:v>Cypher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Sheet1!$B$25:$K$25</c:f>
              <c:numCache>
                <c:formatCode>General</c:formatCode>
                <c:ptCount val="10"/>
                <c:pt idx="0">
                  <c:v>1.635</c:v>
                </c:pt>
                <c:pt idx="1">
                  <c:v>1.5609999999999999</c:v>
                </c:pt>
                <c:pt idx="2">
                  <c:v>1.593</c:v>
                </c:pt>
                <c:pt idx="3">
                  <c:v>1.5249999999999999</c:v>
                </c:pt>
                <c:pt idx="4">
                  <c:v>1.484</c:v>
                </c:pt>
                <c:pt idx="5">
                  <c:v>1.4910000000000001</c:v>
                </c:pt>
                <c:pt idx="6">
                  <c:v>1.4350000000000001</c:v>
                </c:pt>
                <c:pt idx="7">
                  <c:v>1.6739999999999999</c:v>
                </c:pt>
                <c:pt idx="8">
                  <c:v>1.552</c:v>
                </c:pt>
                <c:pt idx="9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9A-4DA0-BDF5-97F491217599}"/>
            </c:ext>
          </c:extLst>
        </c:ser>
        <c:ser>
          <c:idx val="2"/>
          <c:order val="2"/>
          <c:tx>
            <c:strRef>
              <c:f>Sheet1!$A$26</c:f>
              <c:strCache>
                <c:ptCount val="1"/>
                <c:pt idx="0">
                  <c:v>AQL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Sheet1!$B$26:$K$26</c:f>
              <c:numCache>
                <c:formatCode>General</c:formatCode>
                <c:ptCount val="10"/>
                <c:pt idx="0">
                  <c:v>50.73</c:v>
                </c:pt>
                <c:pt idx="1">
                  <c:v>25.795000000000002</c:v>
                </c:pt>
                <c:pt idx="2">
                  <c:v>33.256</c:v>
                </c:pt>
                <c:pt idx="3">
                  <c:v>24.081</c:v>
                </c:pt>
                <c:pt idx="4">
                  <c:v>24.37</c:v>
                </c:pt>
                <c:pt idx="5">
                  <c:v>26.594000000000001</c:v>
                </c:pt>
                <c:pt idx="6">
                  <c:v>24.925999999999998</c:v>
                </c:pt>
                <c:pt idx="7">
                  <c:v>24.792000000000002</c:v>
                </c:pt>
                <c:pt idx="8">
                  <c:v>23.780999999999999</c:v>
                </c:pt>
                <c:pt idx="9">
                  <c:v>25.387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9A-4DA0-BDF5-97F491217599}"/>
            </c:ext>
          </c:extLst>
        </c:ser>
        <c:ser>
          <c:idx val="3"/>
          <c:order val="3"/>
          <c:tx>
            <c:strRef>
              <c:f>Sheet1!$A$27</c:f>
              <c:strCache>
                <c:ptCount val="1"/>
                <c:pt idx="0">
                  <c:v>Gremlin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Sheet1!$B$27:$K$27</c:f>
              <c:numCache>
                <c:formatCode>General</c:formatCode>
                <c:ptCount val="10"/>
                <c:pt idx="0">
                  <c:v>33.542000000000002</c:v>
                </c:pt>
                <c:pt idx="1">
                  <c:v>34.146999999999998</c:v>
                </c:pt>
                <c:pt idx="2">
                  <c:v>34.21</c:v>
                </c:pt>
                <c:pt idx="3">
                  <c:v>33.317999999999998</c:v>
                </c:pt>
                <c:pt idx="4">
                  <c:v>35.713000000000001</c:v>
                </c:pt>
                <c:pt idx="5">
                  <c:v>36.479999999999997</c:v>
                </c:pt>
                <c:pt idx="6">
                  <c:v>33.959000000000003</c:v>
                </c:pt>
                <c:pt idx="7">
                  <c:v>33.459000000000003</c:v>
                </c:pt>
                <c:pt idx="8">
                  <c:v>34.555</c:v>
                </c:pt>
                <c:pt idx="9">
                  <c:v>34.398000000000003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9A-4DA0-BDF5-97F491217599}"/>
            </c:ext>
          </c:extLst>
        </c:ser>
        <c:ser>
          <c:idx val="4"/>
          <c:order val="4"/>
          <c:tx>
            <c:strRef>
              <c:f>Sheet1!$A$28</c:f>
              <c:strCache>
                <c:ptCount val="1"/>
                <c:pt idx="0">
                  <c:v>SQL - OrientDB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Sheet1!$B$28:$K$28</c:f>
              <c:numCache>
                <c:formatCode>General</c:formatCode>
                <c:ptCount val="10"/>
                <c:pt idx="0">
                  <c:v>77.686000000000007</c:v>
                </c:pt>
                <c:pt idx="1">
                  <c:v>83.85</c:v>
                </c:pt>
                <c:pt idx="2">
                  <c:v>79.082999999999998</c:v>
                </c:pt>
                <c:pt idx="3">
                  <c:v>84</c:v>
                </c:pt>
                <c:pt idx="4">
                  <c:v>77.662999999999997</c:v>
                </c:pt>
                <c:pt idx="5">
                  <c:v>78.150000000000006</c:v>
                </c:pt>
                <c:pt idx="6">
                  <c:v>77.89</c:v>
                </c:pt>
                <c:pt idx="7">
                  <c:v>78.802999999999997</c:v>
                </c:pt>
                <c:pt idx="8">
                  <c:v>82.501999999999995</c:v>
                </c:pt>
                <c:pt idx="9">
                  <c:v>77.081000000000003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9A-4DA0-BDF5-97F491217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455871"/>
        <c:axId val="11424477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Sheet1!$A$24</c15:sqref>
                        </c15:formulaRef>
                      </c:ext>
                    </c:extLst>
                    <c:strCache>
                      <c:ptCount val="1"/>
                      <c:pt idx="0">
                        <c:v>Pokus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Sheet1!$B$24:$K$24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B9A-4DA0-BDF5-97F491217599}"/>
                  </c:ext>
                </c:extLst>
              </c15:ser>
            </c15:filteredLineSeries>
          </c:ext>
        </c:extLst>
      </c:lineChart>
      <c:catAx>
        <c:axId val="1142455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447759"/>
        <c:crosses val="autoZero"/>
        <c:auto val="1"/>
        <c:lblAlgn val="ctr"/>
        <c:lblOffset val="100"/>
        <c:noMultiLvlLbl val="0"/>
      </c:catAx>
      <c:valAx>
        <c:axId val="11424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 [s]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45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Q4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Sheet1!$A$32</c:f>
              <c:strCache>
                <c:ptCount val="1"/>
                <c:pt idx="0">
                  <c:v>Cypher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Sheet1!$B$32:$K$32</c:f>
              <c:numCache>
                <c:formatCode>General</c:formatCode>
                <c:ptCount val="10"/>
                <c:pt idx="0">
                  <c:v>2.306</c:v>
                </c:pt>
                <c:pt idx="1">
                  <c:v>2.6320000000000001</c:v>
                </c:pt>
                <c:pt idx="2">
                  <c:v>2.2829999999999999</c:v>
                </c:pt>
                <c:pt idx="3">
                  <c:v>2.4329999999999998</c:v>
                </c:pt>
                <c:pt idx="4">
                  <c:v>2.3530000000000002</c:v>
                </c:pt>
                <c:pt idx="5">
                  <c:v>2.3959999999999999</c:v>
                </c:pt>
                <c:pt idx="6">
                  <c:v>2.2490000000000001</c:v>
                </c:pt>
                <c:pt idx="7">
                  <c:v>2.5659999999999998</c:v>
                </c:pt>
                <c:pt idx="8">
                  <c:v>2.5529999999999999</c:v>
                </c:pt>
                <c:pt idx="9">
                  <c:v>2.4449999999999998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BD-44BE-B71B-D8C8496D5DA6}"/>
            </c:ext>
          </c:extLst>
        </c:ser>
        <c:ser>
          <c:idx val="2"/>
          <c:order val="2"/>
          <c:tx>
            <c:strRef>
              <c:f>Sheet1!$A$33</c:f>
              <c:strCache>
                <c:ptCount val="1"/>
                <c:pt idx="0">
                  <c:v>AQL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Sheet1!$B$33:$K$33</c:f>
              <c:numCache>
                <c:formatCode>General</c:formatCode>
                <c:ptCount val="10"/>
                <c:pt idx="0">
                  <c:v>84.95</c:v>
                </c:pt>
                <c:pt idx="1">
                  <c:v>19.603999999999999</c:v>
                </c:pt>
                <c:pt idx="2">
                  <c:v>20.89</c:v>
                </c:pt>
                <c:pt idx="3">
                  <c:v>17.632000000000001</c:v>
                </c:pt>
                <c:pt idx="4">
                  <c:v>17.361999999999998</c:v>
                </c:pt>
                <c:pt idx="5">
                  <c:v>18.946000000000002</c:v>
                </c:pt>
                <c:pt idx="6">
                  <c:v>18.132000000000001</c:v>
                </c:pt>
                <c:pt idx="7">
                  <c:v>19.100999999999999</c:v>
                </c:pt>
                <c:pt idx="8">
                  <c:v>17.574999999999999</c:v>
                </c:pt>
                <c:pt idx="9">
                  <c:v>18.085999999999999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BD-44BE-B71B-D8C8496D5DA6}"/>
            </c:ext>
          </c:extLst>
        </c:ser>
        <c:ser>
          <c:idx val="3"/>
          <c:order val="3"/>
          <c:tx>
            <c:strRef>
              <c:f>Sheet1!$A$34</c:f>
              <c:strCache>
                <c:ptCount val="1"/>
                <c:pt idx="0">
                  <c:v>Gremlin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Sheet1!$B$34:$K$34</c:f>
              <c:numCache>
                <c:formatCode>General</c:formatCode>
                <c:ptCount val="10"/>
                <c:pt idx="0">
                  <c:v>84.057000000000002</c:v>
                </c:pt>
                <c:pt idx="1">
                  <c:v>83.819000000000003</c:v>
                </c:pt>
                <c:pt idx="2">
                  <c:v>87.9</c:v>
                </c:pt>
                <c:pt idx="3">
                  <c:v>83.581999999999994</c:v>
                </c:pt>
                <c:pt idx="4">
                  <c:v>79.046000000000006</c:v>
                </c:pt>
                <c:pt idx="5">
                  <c:v>69.576999999999998</c:v>
                </c:pt>
                <c:pt idx="6">
                  <c:v>79.350999999999999</c:v>
                </c:pt>
                <c:pt idx="7">
                  <c:v>76.429000000000002</c:v>
                </c:pt>
                <c:pt idx="8">
                  <c:v>77.981999999999999</c:v>
                </c:pt>
                <c:pt idx="9">
                  <c:v>82.072999999999993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BD-44BE-B71B-D8C8496D5DA6}"/>
            </c:ext>
          </c:extLst>
        </c:ser>
        <c:ser>
          <c:idx val="4"/>
          <c:order val="4"/>
          <c:tx>
            <c:strRef>
              <c:f>Sheet1!$A$35</c:f>
              <c:strCache>
                <c:ptCount val="1"/>
                <c:pt idx="0">
                  <c:v>SQL - OrientDB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Sheet1!$B$35:$K$35</c:f>
              <c:numCache>
                <c:formatCode>General</c:formatCode>
                <c:ptCount val="10"/>
                <c:pt idx="0">
                  <c:v>112.67</c:v>
                </c:pt>
                <c:pt idx="1">
                  <c:v>111.092</c:v>
                </c:pt>
                <c:pt idx="2">
                  <c:v>113.52</c:v>
                </c:pt>
                <c:pt idx="3">
                  <c:v>112.83799999999999</c:v>
                </c:pt>
                <c:pt idx="4">
                  <c:v>113.965</c:v>
                </c:pt>
                <c:pt idx="5">
                  <c:v>121.44199999999999</c:v>
                </c:pt>
                <c:pt idx="6">
                  <c:v>111.286</c:v>
                </c:pt>
                <c:pt idx="7">
                  <c:v>109.86499999999999</c:v>
                </c:pt>
                <c:pt idx="8">
                  <c:v>114.498</c:v>
                </c:pt>
                <c:pt idx="9">
                  <c:v>109.206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BD-44BE-B71B-D8C8496D5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374895"/>
        <c:axId val="11370899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Sheet1!$A$31</c15:sqref>
                        </c15:formulaRef>
                      </c:ext>
                    </c:extLst>
                    <c:strCache>
                      <c:ptCount val="1"/>
                      <c:pt idx="0">
                        <c:v>Pokus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Sheet1!$B$31:$K$31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2BD-44BE-B71B-D8C8496D5DA6}"/>
                  </c:ext>
                </c:extLst>
              </c15:ser>
            </c15:filteredLineSeries>
          </c:ext>
        </c:extLst>
      </c:lineChart>
      <c:catAx>
        <c:axId val="1143374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089919"/>
        <c:crosses val="autoZero"/>
        <c:auto val="1"/>
        <c:lblAlgn val="ctr"/>
        <c:lblOffset val="100"/>
        <c:noMultiLvlLbl val="0"/>
      </c:catAx>
      <c:valAx>
        <c:axId val="113708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 [s]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7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Insert/Delete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Neo4j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Sheet1!$B$3:$E$3</c:f>
              <c:strCache>
                <c:ptCount val="4"/>
                <c:pt idx="0">
                  <c:v>insert V</c:v>
                </c:pt>
                <c:pt idx="1">
                  <c:v>insert E</c:v>
                </c:pt>
                <c:pt idx="2">
                  <c:v>delete V</c:v>
                </c:pt>
                <c:pt idx="3">
                  <c:v>delete E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36</c:v>
                </c:pt>
                <c:pt idx="1">
                  <c:v>183</c:v>
                </c:pt>
                <c:pt idx="2">
                  <c:v>10.135999999999999</c:v>
                </c:pt>
                <c:pt idx="3">
                  <c:v>51.536999999999999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D-41E0-99BA-4AE19DA0EA06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ArangoDB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Sheet1!$B$3:$E$3</c:f>
              <c:strCache>
                <c:ptCount val="4"/>
                <c:pt idx="0">
                  <c:v>insert V</c:v>
                </c:pt>
                <c:pt idx="1">
                  <c:v>insert E</c:v>
                </c:pt>
                <c:pt idx="2">
                  <c:v>delete V</c:v>
                </c:pt>
                <c:pt idx="3">
                  <c:v>delete E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39</c:v>
                </c:pt>
                <c:pt idx="1">
                  <c:v>75</c:v>
                </c:pt>
                <c:pt idx="2">
                  <c:v>29.62</c:v>
                </c:pt>
                <c:pt idx="3">
                  <c:v>147.721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DD-41E0-99BA-4AE19DA0EA06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OrientDB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Sheet1!$B$3:$E$3</c:f>
              <c:strCache>
                <c:ptCount val="4"/>
                <c:pt idx="0">
                  <c:v>insert V</c:v>
                </c:pt>
                <c:pt idx="1">
                  <c:v>insert E</c:v>
                </c:pt>
                <c:pt idx="2">
                  <c:v>delete V</c:v>
                </c:pt>
                <c:pt idx="3">
                  <c:v>delete E</c:v>
                </c:pt>
              </c:strCache>
            </c:strRef>
          </c:cat>
          <c:val>
            <c:numRef>
              <c:f>Sheet1!$B$6:$E$6</c:f>
              <c:numCache>
                <c:formatCode>General</c:formatCode>
                <c:ptCount val="4"/>
                <c:pt idx="0">
                  <c:v>68</c:v>
                </c:pt>
                <c:pt idx="1">
                  <c:v>1041</c:v>
                </c:pt>
                <c:pt idx="2">
                  <c:v>97</c:v>
                </c:pt>
                <c:pt idx="3">
                  <c:v>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DD-41E0-99BA-4AE19DA0E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1099183"/>
        <c:axId val="879286847"/>
      </c:barChart>
      <c:catAx>
        <c:axId val="110109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286847"/>
        <c:crosses val="autoZero"/>
        <c:auto val="1"/>
        <c:lblAlgn val="ctr"/>
        <c:lblOffset val="100"/>
        <c:noMultiLvlLbl val="0"/>
      </c:catAx>
      <c:valAx>
        <c:axId val="87928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 [s]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09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16</xdr:row>
      <xdr:rowOff>14287</xdr:rowOff>
    </xdr:from>
    <xdr:to>
      <xdr:col>22</xdr:col>
      <xdr:colOff>314325</xdr:colOff>
      <xdr:row>30</xdr:row>
      <xdr:rowOff>83287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FCDC96-0381-AB8B-AACD-B8731C59B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</xdr:colOff>
      <xdr:row>32</xdr:row>
      <xdr:rowOff>14287</xdr:rowOff>
    </xdr:from>
    <xdr:to>
      <xdr:col>22</xdr:col>
      <xdr:colOff>309562</xdr:colOff>
      <xdr:row>46</xdr:row>
      <xdr:rowOff>83287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AFDBAD-D542-941A-D454-45482BCE7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604837</xdr:colOff>
      <xdr:row>0</xdr:row>
      <xdr:rowOff>100012</xdr:rowOff>
    </xdr:from>
    <xdr:to>
      <xdr:col>30</xdr:col>
      <xdr:colOff>300037</xdr:colOff>
      <xdr:row>14</xdr:row>
      <xdr:rowOff>169012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455B32-1B7E-55D4-704A-B32F59E60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604837</xdr:colOff>
      <xdr:row>16</xdr:row>
      <xdr:rowOff>14287</xdr:rowOff>
    </xdr:from>
    <xdr:to>
      <xdr:col>30</xdr:col>
      <xdr:colOff>300037</xdr:colOff>
      <xdr:row>30</xdr:row>
      <xdr:rowOff>83287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572F1B-0DB2-81AB-8B42-50F5481B6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0</xdr:row>
      <xdr:rowOff>109537</xdr:rowOff>
    </xdr:from>
    <xdr:to>
      <xdr:col>22</xdr:col>
      <xdr:colOff>304800</xdr:colOff>
      <xdr:row>14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B53894-94FD-41DF-C7CC-A3623B8B0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4442-7EDD-4B7F-9E93-0359649CCCF5}">
  <dimension ref="A2:M40"/>
  <sheetViews>
    <sheetView tabSelected="1" topLeftCell="H1" workbookViewId="0">
      <selection activeCell="AB35" sqref="AB35"/>
    </sheetView>
  </sheetViews>
  <sheetFormatPr defaultRowHeight="15" x14ac:dyDescent="0.25"/>
  <cols>
    <col min="1" max="1" width="16.7109375" customWidth="1"/>
  </cols>
  <sheetData>
    <row r="2" spans="1:13" x14ac:dyDescent="0.25">
      <c r="H2" t="s">
        <v>23</v>
      </c>
    </row>
    <row r="3" spans="1:13" x14ac:dyDescent="0.25"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H3" s="5" t="s">
        <v>14</v>
      </c>
      <c r="I3" s="5" t="s">
        <v>13</v>
      </c>
    </row>
    <row r="4" spans="1:13" x14ac:dyDescent="0.25">
      <c r="A4" s="3" t="s">
        <v>0</v>
      </c>
      <c r="B4" s="1">
        <v>36</v>
      </c>
      <c r="C4" s="1">
        <v>183</v>
      </c>
      <c r="D4" s="1">
        <v>10.135999999999999</v>
      </c>
      <c r="E4" s="1">
        <v>51.536999999999999</v>
      </c>
      <c r="F4" s="1">
        <v>63.691000000000003</v>
      </c>
      <c r="H4" s="4">
        <v>103.223</v>
      </c>
    </row>
    <row r="5" spans="1:13" x14ac:dyDescent="0.25">
      <c r="A5" s="3" t="s">
        <v>1</v>
      </c>
      <c r="B5" s="1">
        <v>39</v>
      </c>
      <c r="C5" s="1">
        <v>75</v>
      </c>
      <c r="D5" s="1">
        <v>29.62</v>
      </c>
      <c r="E5" s="1">
        <v>147.721</v>
      </c>
      <c r="H5">
        <v>57.3</v>
      </c>
      <c r="I5">
        <v>26</v>
      </c>
    </row>
    <row r="6" spans="1:13" x14ac:dyDescent="0.25">
      <c r="A6" s="3" t="s">
        <v>2</v>
      </c>
      <c r="B6" s="1">
        <v>68</v>
      </c>
      <c r="C6" s="1">
        <v>1041</v>
      </c>
      <c r="D6" s="1">
        <v>97</v>
      </c>
      <c r="E6" s="1">
        <v>1159</v>
      </c>
    </row>
    <row r="9" spans="1:13" x14ac:dyDescent="0.25">
      <c r="B9" s="10" t="s">
        <v>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3" t="s">
        <v>9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 t="s">
        <v>8</v>
      </c>
      <c r="M10" s="1" t="s">
        <v>19</v>
      </c>
    </row>
    <row r="11" spans="1:13" x14ac:dyDescent="0.25">
      <c r="A11" s="3" t="s">
        <v>3</v>
      </c>
      <c r="B11" s="1">
        <v>5.0000000000000001E-3</v>
      </c>
      <c r="C11" s="1">
        <v>6.0000000000000001E-3</v>
      </c>
      <c r="D11" s="1">
        <v>6.0000000000000001E-3</v>
      </c>
      <c r="E11" s="1">
        <v>0.03</v>
      </c>
      <c r="F11" s="1">
        <v>7.0000000000000001E-3</v>
      </c>
      <c r="G11" s="1">
        <v>6.0000000000000001E-3</v>
      </c>
      <c r="H11" s="1">
        <v>8.0000000000000002E-3</v>
      </c>
      <c r="I11" s="2">
        <v>6.0000000000000001E-3</v>
      </c>
      <c r="J11" s="2">
        <v>6.0000000000000001E-3</v>
      </c>
      <c r="K11" s="2">
        <v>6.0000000000000001E-3</v>
      </c>
      <c r="L11" s="1">
        <f>AVERAGE(B11:K11)</f>
        <v>8.6000000000000017E-3</v>
      </c>
      <c r="M11" s="2">
        <v>7176</v>
      </c>
    </row>
    <row r="12" spans="1:13" x14ac:dyDescent="0.25">
      <c r="A12" s="3" t="s">
        <v>4</v>
      </c>
      <c r="B12" s="1">
        <v>0.15</v>
      </c>
      <c r="C12" s="1">
        <v>0.153</v>
      </c>
      <c r="D12" s="1">
        <v>0.161</v>
      </c>
      <c r="E12" s="1">
        <v>0.22</v>
      </c>
      <c r="F12" s="1">
        <v>0.17699999999999999</v>
      </c>
      <c r="G12" s="1">
        <v>0.218</v>
      </c>
      <c r="H12" s="1">
        <v>0.17899999999999999</v>
      </c>
      <c r="I12" s="1">
        <v>0.17199999999999999</v>
      </c>
      <c r="J12" s="1">
        <v>0.17</v>
      </c>
      <c r="K12" s="1">
        <v>0.14099999999999999</v>
      </c>
      <c r="L12" s="1">
        <f>AVERAGE(B12:K12)</f>
        <v>0.17409999999999998</v>
      </c>
      <c r="M12" s="1">
        <v>7176</v>
      </c>
    </row>
    <row r="13" spans="1:13" x14ac:dyDescent="0.25">
      <c r="A13" s="3" t="s">
        <v>5</v>
      </c>
      <c r="B13" s="1">
        <v>2.7E-2</v>
      </c>
      <c r="C13" s="1">
        <v>0.02</v>
      </c>
      <c r="D13" s="1">
        <v>3.1E-2</v>
      </c>
      <c r="E13" s="1">
        <v>2.1000000000000001E-2</v>
      </c>
      <c r="F13" s="1">
        <v>2.1000000000000001E-2</v>
      </c>
      <c r="G13" s="1">
        <v>3.2000000000000001E-2</v>
      </c>
      <c r="H13" s="1">
        <v>2.7E-2</v>
      </c>
      <c r="I13" s="1">
        <v>2.1000000000000001E-2</v>
      </c>
      <c r="J13" s="1">
        <v>2.1000000000000001E-2</v>
      </c>
      <c r="K13" s="1">
        <v>2.1000000000000001E-2</v>
      </c>
      <c r="L13" s="1">
        <f>AVERAGE(B13:K13)</f>
        <v>2.4199999999999999E-2</v>
      </c>
      <c r="M13" s="9">
        <v>7176</v>
      </c>
    </row>
    <row r="14" spans="1:13" x14ac:dyDescent="0.25">
      <c r="A14" s="3" t="s">
        <v>6</v>
      </c>
      <c r="B14" s="1">
        <v>0.17199999999999999</v>
      </c>
      <c r="C14" s="1">
        <v>0.20100000000000001</v>
      </c>
      <c r="D14" s="1">
        <v>0.219</v>
      </c>
      <c r="E14" s="1">
        <v>0.187</v>
      </c>
      <c r="F14" s="1">
        <v>0.86</v>
      </c>
      <c r="G14" s="1">
        <v>0.23400000000000001</v>
      </c>
      <c r="H14" s="1">
        <v>0.25</v>
      </c>
      <c r="I14" s="1">
        <v>0.20300000000000001</v>
      </c>
      <c r="J14" s="1">
        <v>0.20300000000000001</v>
      </c>
      <c r="K14" s="1">
        <v>0.23400000000000001</v>
      </c>
      <c r="L14" s="1">
        <f>AVERAGE(B14:K14)</f>
        <v>0.27629999999999993</v>
      </c>
      <c r="M14" s="1">
        <v>7176</v>
      </c>
    </row>
    <row r="16" spans="1:13" x14ac:dyDescent="0.25">
      <c r="B16" s="10" t="s">
        <v>10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x14ac:dyDescent="0.25">
      <c r="A17" s="3" t="s">
        <v>9</v>
      </c>
      <c r="B17" s="1">
        <v>1</v>
      </c>
      <c r="C17" s="1">
        <v>2</v>
      </c>
      <c r="D17" s="1">
        <v>3</v>
      </c>
      <c r="E17" s="1">
        <v>4</v>
      </c>
      <c r="F17" s="1">
        <v>5</v>
      </c>
      <c r="G17" s="1">
        <v>6</v>
      </c>
      <c r="H17" s="1">
        <v>7</v>
      </c>
      <c r="I17" s="1">
        <v>8</v>
      </c>
      <c r="J17" s="1">
        <v>9</v>
      </c>
      <c r="K17" s="1">
        <v>10</v>
      </c>
      <c r="L17" s="1" t="s">
        <v>8</v>
      </c>
      <c r="M17" s="1" t="s">
        <v>19</v>
      </c>
    </row>
    <row r="18" spans="1:13" x14ac:dyDescent="0.25">
      <c r="A18" s="3" t="s">
        <v>3</v>
      </c>
      <c r="B18" s="1">
        <v>0.28799999999999998</v>
      </c>
      <c r="C18" s="2">
        <v>0.247</v>
      </c>
      <c r="D18" s="2">
        <v>0.24399999999999999</v>
      </c>
      <c r="E18" s="2">
        <v>0.20599999999999999</v>
      </c>
      <c r="F18" s="2">
        <v>0.23100000000000001</v>
      </c>
      <c r="G18" s="1">
        <v>0.26</v>
      </c>
      <c r="H18" s="1">
        <v>0.32700000000000001</v>
      </c>
      <c r="I18" s="1">
        <v>0.24199999999999999</v>
      </c>
      <c r="J18" s="1">
        <v>0.23200000000000001</v>
      </c>
      <c r="K18" s="1">
        <v>0.23300000000000001</v>
      </c>
      <c r="L18" s="1">
        <f>AVERAGE(B18:K18)</f>
        <v>0.251</v>
      </c>
      <c r="M18" s="1">
        <v>240949</v>
      </c>
    </row>
    <row r="19" spans="1:13" x14ac:dyDescent="0.25">
      <c r="A19" s="3" t="s">
        <v>4</v>
      </c>
      <c r="B19" s="1">
        <v>9.6039999999999992</v>
      </c>
      <c r="C19" s="1">
        <v>6.3339999999999996</v>
      </c>
      <c r="D19" s="1">
        <v>6.1139999999999999</v>
      </c>
      <c r="E19" s="1">
        <v>6.1120000000000001</v>
      </c>
      <c r="F19" s="1">
        <v>6.2460000000000004</v>
      </c>
      <c r="G19" s="1">
        <v>6.306</v>
      </c>
      <c r="H19" s="1">
        <v>6.3019999999999996</v>
      </c>
      <c r="I19" s="1">
        <v>12.12</v>
      </c>
      <c r="J19" s="1">
        <v>5.859</v>
      </c>
      <c r="K19" s="1">
        <v>5.6890000000000001</v>
      </c>
      <c r="L19" s="1">
        <f>AVERAGE(B19:K19)</f>
        <v>7.0686000000000009</v>
      </c>
      <c r="M19" s="1">
        <v>240949</v>
      </c>
    </row>
    <row r="20" spans="1:13" x14ac:dyDescent="0.25">
      <c r="A20" s="3" t="s">
        <v>5</v>
      </c>
      <c r="B20" s="1">
        <v>5.2859999999999996</v>
      </c>
      <c r="C20" s="1">
        <v>5.7279999999999998</v>
      </c>
      <c r="D20" s="1">
        <v>5.4749999999999996</v>
      </c>
      <c r="E20" s="1">
        <v>5.5940000000000003</v>
      </c>
      <c r="F20" s="1">
        <v>5.1379999999999999</v>
      </c>
      <c r="G20" s="1">
        <v>5.0979999999999999</v>
      </c>
      <c r="H20" s="1">
        <v>5.2</v>
      </c>
      <c r="I20" s="1">
        <v>5.0629999999999997</v>
      </c>
      <c r="J20" s="1">
        <v>5.5659999999999998</v>
      </c>
      <c r="K20" s="1">
        <v>5.7160000000000002</v>
      </c>
      <c r="L20" s="1">
        <f>AVERAGE(B20:K20)</f>
        <v>5.3864000000000001</v>
      </c>
      <c r="M20" s="9">
        <v>240949</v>
      </c>
    </row>
    <row r="21" spans="1:13" x14ac:dyDescent="0.25">
      <c r="A21" s="3" t="s">
        <v>6</v>
      </c>
      <c r="B21" s="1">
        <v>9.5960000000000001</v>
      </c>
      <c r="C21" s="1">
        <v>8.9090000000000007</v>
      </c>
      <c r="D21" s="1">
        <v>8.9260000000000002</v>
      </c>
      <c r="E21" s="1">
        <v>9.1210000000000004</v>
      </c>
      <c r="F21" s="1">
        <v>9.1129999999999995</v>
      </c>
      <c r="G21" s="1">
        <v>9.1270000000000007</v>
      </c>
      <c r="H21" s="1">
        <v>9.0960000000000001</v>
      </c>
      <c r="I21" s="1">
        <v>8.9380000000000006</v>
      </c>
      <c r="J21" s="1">
        <v>8.9719999999999995</v>
      </c>
      <c r="K21" s="1">
        <v>8.8469999999999995</v>
      </c>
      <c r="L21" s="1">
        <f>AVERAGE(B21:K21)</f>
        <v>9.0644999999999989</v>
      </c>
      <c r="M21" s="1">
        <v>240949</v>
      </c>
    </row>
    <row r="23" spans="1:13" x14ac:dyDescent="0.25">
      <c r="B23" s="10" t="s">
        <v>11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x14ac:dyDescent="0.25">
      <c r="A24" s="3" t="s">
        <v>9</v>
      </c>
      <c r="B24" s="1">
        <v>1</v>
      </c>
      <c r="C24" s="1">
        <v>2</v>
      </c>
      <c r="D24" s="1">
        <v>3</v>
      </c>
      <c r="E24" s="1">
        <v>4</v>
      </c>
      <c r="F24" s="1">
        <v>5</v>
      </c>
      <c r="G24" s="1">
        <v>6</v>
      </c>
      <c r="H24" s="1">
        <v>7</v>
      </c>
      <c r="I24" s="1">
        <v>8</v>
      </c>
      <c r="J24" s="1">
        <v>9</v>
      </c>
      <c r="K24" s="1">
        <v>10</v>
      </c>
      <c r="L24" s="1" t="s">
        <v>8</v>
      </c>
      <c r="M24" s="1" t="s">
        <v>19</v>
      </c>
    </row>
    <row r="25" spans="1:13" x14ac:dyDescent="0.25">
      <c r="A25" s="3" t="s">
        <v>3</v>
      </c>
      <c r="B25" s="1">
        <v>1.635</v>
      </c>
      <c r="C25" s="1">
        <v>1.5609999999999999</v>
      </c>
      <c r="D25" s="1">
        <v>1.593</v>
      </c>
      <c r="E25" s="1">
        <v>1.5249999999999999</v>
      </c>
      <c r="F25" s="1">
        <v>1.484</v>
      </c>
      <c r="G25" s="1">
        <v>1.4910000000000001</v>
      </c>
      <c r="H25" s="1">
        <v>1.4350000000000001</v>
      </c>
      <c r="I25" s="1">
        <v>1.6739999999999999</v>
      </c>
      <c r="J25" s="1">
        <v>1.552</v>
      </c>
      <c r="K25" s="1">
        <v>1.57</v>
      </c>
      <c r="L25" s="1">
        <f>AVERAGE(B25:K25)</f>
        <v>1.552</v>
      </c>
      <c r="M25" s="1">
        <v>814122</v>
      </c>
    </row>
    <row r="26" spans="1:13" x14ac:dyDescent="0.25">
      <c r="A26" s="3" t="s">
        <v>4</v>
      </c>
      <c r="B26" s="1">
        <v>50.73</v>
      </c>
      <c r="C26" s="1">
        <v>25.795000000000002</v>
      </c>
      <c r="D26" s="1">
        <v>33.256</v>
      </c>
      <c r="E26" s="1">
        <v>24.081</v>
      </c>
      <c r="F26" s="1">
        <v>24.37</v>
      </c>
      <c r="G26" s="1">
        <v>26.594000000000001</v>
      </c>
      <c r="H26" s="1">
        <v>24.925999999999998</v>
      </c>
      <c r="I26" s="1">
        <v>24.792000000000002</v>
      </c>
      <c r="J26" s="1">
        <v>23.780999999999999</v>
      </c>
      <c r="K26" s="1">
        <v>25.387</v>
      </c>
      <c r="L26" s="1">
        <f>AVERAGE(B26:K26)</f>
        <v>28.371199999999998</v>
      </c>
      <c r="M26" s="1">
        <v>814122</v>
      </c>
    </row>
    <row r="27" spans="1:13" x14ac:dyDescent="0.25">
      <c r="A27" s="3" t="s">
        <v>5</v>
      </c>
      <c r="B27" s="1">
        <v>33.542000000000002</v>
      </c>
      <c r="C27" s="1">
        <v>34.146999999999998</v>
      </c>
      <c r="D27" s="1">
        <v>34.21</v>
      </c>
      <c r="E27" s="1">
        <v>33.317999999999998</v>
      </c>
      <c r="F27" s="1">
        <v>35.713000000000001</v>
      </c>
      <c r="G27" s="1">
        <v>36.479999999999997</v>
      </c>
      <c r="H27" s="1">
        <v>33.959000000000003</v>
      </c>
      <c r="I27" s="1">
        <v>33.459000000000003</v>
      </c>
      <c r="J27" s="1">
        <v>34.555</v>
      </c>
      <c r="K27" s="1">
        <v>34.398000000000003</v>
      </c>
      <c r="L27" s="1">
        <f>AVERAGE(B27:K27)</f>
        <v>34.378100000000003</v>
      </c>
      <c r="M27" s="1">
        <v>814122</v>
      </c>
    </row>
    <row r="28" spans="1:13" x14ac:dyDescent="0.25">
      <c r="A28" s="3" t="s">
        <v>6</v>
      </c>
      <c r="B28" s="1">
        <v>77.686000000000007</v>
      </c>
      <c r="C28" s="1">
        <v>83.85</v>
      </c>
      <c r="D28" s="1">
        <v>79.082999999999998</v>
      </c>
      <c r="E28" s="1">
        <v>84</v>
      </c>
      <c r="F28" s="1">
        <v>77.662999999999997</v>
      </c>
      <c r="G28" s="1">
        <v>78.150000000000006</v>
      </c>
      <c r="H28" s="1">
        <v>77.89</v>
      </c>
      <c r="I28" s="1">
        <v>78.802999999999997</v>
      </c>
      <c r="J28" s="1">
        <v>82.501999999999995</v>
      </c>
      <c r="K28" s="1">
        <v>77.081000000000003</v>
      </c>
      <c r="L28" s="1">
        <f>AVERAGE(B28:K28)</f>
        <v>79.6708</v>
      </c>
      <c r="M28" s="1">
        <v>814122</v>
      </c>
    </row>
    <row r="30" spans="1:13" x14ac:dyDescent="0.25">
      <c r="B30" s="10" t="s">
        <v>12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x14ac:dyDescent="0.25">
      <c r="A31" s="3" t="s">
        <v>9</v>
      </c>
      <c r="B31" s="1">
        <v>1</v>
      </c>
      <c r="C31" s="1">
        <v>2</v>
      </c>
      <c r="D31" s="1">
        <v>3</v>
      </c>
      <c r="E31" s="1">
        <v>4</v>
      </c>
      <c r="F31" s="1">
        <v>5</v>
      </c>
      <c r="G31" s="1">
        <v>6</v>
      </c>
      <c r="H31" s="1">
        <v>7</v>
      </c>
      <c r="I31" s="1">
        <v>8</v>
      </c>
      <c r="J31" s="1">
        <v>9</v>
      </c>
      <c r="K31" s="1">
        <v>10</v>
      </c>
      <c r="L31" s="1" t="s">
        <v>8</v>
      </c>
      <c r="M31" s="1" t="s">
        <v>19</v>
      </c>
    </row>
    <row r="32" spans="1:13" x14ac:dyDescent="0.25">
      <c r="A32" s="3" t="s">
        <v>3</v>
      </c>
      <c r="B32" s="1">
        <v>2.306</v>
      </c>
      <c r="C32" s="1">
        <v>2.6320000000000001</v>
      </c>
      <c r="D32" s="1">
        <v>2.2829999999999999</v>
      </c>
      <c r="E32" s="1">
        <v>2.4329999999999998</v>
      </c>
      <c r="F32" s="1">
        <v>2.3530000000000002</v>
      </c>
      <c r="G32" s="1">
        <v>2.3959999999999999</v>
      </c>
      <c r="H32" s="1">
        <v>2.2490000000000001</v>
      </c>
      <c r="I32" s="1">
        <v>2.5659999999999998</v>
      </c>
      <c r="J32" s="1">
        <v>2.5529999999999999</v>
      </c>
      <c r="K32" s="1">
        <v>2.4449999999999998</v>
      </c>
      <c r="L32" s="1">
        <f>AVERAGE(B32:K32)</f>
        <v>2.4215999999999998</v>
      </c>
      <c r="M32" s="1">
        <v>1051030</v>
      </c>
    </row>
    <row r="33" spans="1:13" x14ac:dyDescent="0.25">
      <c r="A33" s="3" t="s">
        <v>4</v>
      </c>
      <c r="B33" s="1">
        <v>84.95</v>
      </c>
      <c r="C33" s="1">
        <v>19.603999999999999</v>
      </c>
      <c r="D33" s="1">
        <v>20.89</v>
      </c>
      <c r="E33" s="1">
        <v>17.632000000000001</v>
      </c>
      <c r="F33" s="1">
        <v>17.361999999999998</v>
      </c>
      <c r="G33" s="1">
        <v>18.946000000000002</v>
      </c>
      <c r="H33" s="1">
        <v>18.132000000000001</v>
      </c>
      <c r="I33" s="1">
        <v>19.100999999999999</v>
      </c>
      <c r="J33" s="1">
        <v>17.574999999999999</v>
      </c>
      <c r="K33" s="1">
        <v>18.085999999999999</v>
      </c>
      <c r="L33" s="1">
        <f>AVERAGE(B33:K33)</f>
        <v>25.227799999999995</v>
      </c>
      <c r="M33" s="1">
        <v>1051030</v>
      </c>
    </row>
    <row r="34" spans="1:13" x14ac:dyDescent="0.25">
      <c r="A34" s="3" t="s">
        <v>5</v>
      </c>
      <c r="B34" s="1">
        <v>84.057000000000002</v>
      </c>
      <c r="C34" s="1">
        <v>83.819000000000003</v>
      </c>
      <c r="D34" s="1">
        <v>87.9</v>
      </c>
      <c r="E34" s="1">
        <v>83.581999999999994</v>
      </c>
      <c r="F34" s="1">
        <v>79.046000000000006</v>
      </c>
      <c r="G34" s="1">
        <v>69.576999999999998</v>
      </c>
      <c r="H34" s="1">
        <v>79.350999999999999</v>
      </c>
      <c r="I34" s="1">
        <v>76.429000000000002</v>
      </c>
      <c r="J34" s="1">
        <v>77.981999999999999</v>
      </c>
      <c r="K34" s="8">
        <v>82.072999999999993</v>
      </c>
      <c r="L34" s="1">
        <f>AVERAGE(B34:K34)</f>
        <v>80.381599999999992</v>
      </c>
      <c r="M34" s="1">
        <v>1051030</v>
      </c>
    </row>
    <row r="35" spans="1:13" x14ac:dyDescent="0.25">
      <c r="A35" s="3" t="s">
        <v>6</v>
      </c>
      <c r="B35" s="1">
        <v>112.67</v>
      </c>
      <c r="C35" s="1">
        <v>111.092</v>
      </c>
      <c r="D35" s="1">
        <v>113.52</v>
      </c>
      <c r="E35" s="1">
        <v>112.83799999999999</v>
      </c>
      <c r="F35" s="1">
        <v>113.965</v>
      </c>
      <c r="G35" s="1">
        <v>121.44199999999999</v>
      </c>
      <c r="H35" s="1">
        <v>111.286</v>
      </c>
      <c r="I35" s="1">
        <v>109.86499999999999</v>
      </c>
      <c r="J35" s="1">
        <v>114.498</v>
      </c>
      <c r="K35" s="1">
        <v>109.206</v>
      </c>
      <c r="L35" s="1">
        <f>AVERAGE(B35:K35)</f>
        <v>113.0382</v>
      </c>
      <c r="M35" s="1">
        <v>1051030</v>
      </c>
    </row>
    <row r="37" spans="1:13" x14ac:dyDescent="0.25">
      <c r="A37" s="6" t="s">
        <v>7</v>
      </c>
      <c r="B37" s="7" t="s">
        <v>20</v>
      </c>
      <c r="C37" s="7"/>
      <c r="D37" s="7"/>
      <c r="E37" s="7"/>
      <c r="F37" s="7"/>
      <c r="G37" s="7"/>
    </row>
    <row r="38" spans="1:13" x14ac:dyDescent="0.25">
      <c r="A38" s="6" t="s">
        <v>10</v>
      </c>
      <c r="B38" s="7" t="s">
        <v>21</v>
      </c>
      <c r="C38" s="7"/>
      <c r="D38" s="7"/>
      <c r="E38" s="7"/>
      <c r="F38" s="7"/>
      <c r="G38" s="7"/>
    </row>
    <row r="39" spans="1:13" x14ac:dyDescent="0.25">
      <c r="A39" s="6" t="s">
        <v>11</v>
      </c>
      <c r="B39" s="7" t="s">
        <v>22</v>
      </c>
      <c r="C39" s="7"/>
      <c r="D39" s="7"/>
      <c r="E39" s="7"/>
      <c r="F39" s="7"/>
      <c r="G39" s="7"/>
    </row>
    <row r="40" spans="1:13" x14ac:dyDescent="0.25">
      <c r="A40" s="6" t="s">
        <v>12</v>
      </c>
      <c r="B40" s="7" t="s">
        <v>18</v>
      </c>
      <c r="C40" s="7"/>
      <c r="D40" s="7"/>
      <c r="E40" s="7"/>
      <c r="F40" s="7"/>
      <c r="G40" s="7"/>
    </row>
  </sheetData>
  <mergeCells count="8">
    <mergeCell ref="B37:G37"/>
    <mergeCell ref="B38:G38"/>
    <mergeCell ref="B39:G39"/>
    <mergeCell ref="B40:G40"/>
    <mergeCell ref="B30:M30"/>
    <mergeCell ref="B23:M23"/>
    <mergeCell ref="B16:M16"/>
    <mergeCell ref="B9:M9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Gaja</dc:creator>
  <cp:lastModifiedBy>Jan Gaja</cp:lastModifiedBy>
  <dcterms:created xsi:type="dcterms:W3CDTF">2024-02-26T08:20:41Z</dcterms:created>
  <dcterms:modified xsi:type="dcterms:W3CDTF">2024-03-07T11:27:27Z</dcterms:modified>
</cp:coreProperties>
</file>