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jaj\Desktop\School\Bachelor\graph_databases\"/>
    </mc:Choice>
  </mc:AlternateContent>
  <xr:revisionPtr revIDLastSave="0" documentId="13_ncr:1_{63756AC8-6AEE-4FC0-88BA-CAF459EE3EAE}" xr6:coauthVersionLast="47" xr6:coauthVersionMax="47" xr10:uidLastSave="{00000000-0000-0000-0000-000000000000}"/>
  <bookViews>
    <workbookView xWindow="3120" yWindow="3120" windowWidth="21600" windowHeight="11295" xr2:uid="{3EE48DE2-4E6F-4460-AB34-FCF8C4BDCFE5}"/>
  </bookViews>
  <sheets>
    <sheet name="performance" sheetId="1" r:id="rId1"/>
    <sheet name="properties" sheetId="3" r:id="rId2"/>
    <sheet name="insert-delet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3" l="1"/>
  <c r="L10" i="3"/>
  <c r="L9" i="3"/>
  <c r="L8" i="3"/>
  <c r="L5" i="3"/>
  <c r="L4" i="3"/>
  <c r="L3" i="3"/>
  <c r="L2" i="3"/>
  <c r="B2" i="2"/>
  <c r="L9" i="2"/>
  <c r="L10" i="2"/>
  <c r="C2" i="2" s="1"/>
  <c r="L11" i="2"/>
  <c r="D2" i="2" s="1"/>
  <c r="L15" i="2"/>
  <c r="B3" i="2" s="1"/>
  <c r="L16" i="2"/>
  <c r="C3" i="2" s="1"/>
  <c r="L17" i="2"/>
  <c r="D3" i="2" s="1"/>
  <c r="L21" i="2"/>
  <c r="B4" i="2" s="1"/>
  <c r="L22" i="2"/>
  <c r="C4" i="2" s="1"/>
  <c r="L23" i="2"/>
  <c r="D4" i="2" s="1"/>
  <c r="L27" i="2"/>
  <c r="B5" i="2" s="1"/>
  <c r="L28" i="2"/>
  <c r="C5" i="2" s="1"/>
  <c r="L29" i="2"/>
  <c r="D5" i="2" s="1"/>
  <c r="L37" i="1"/>
  <c r="L5" i="1"/>
  <c r="L29" i="1"/>
  <c r="L21" i="1"/>
  <c r="L13" i="1"/>
  <c r="L30" i="1"/>
  <c r="L47" i="1"/>
  <c r="L39" i="1"/>
  <c r="L7" i="1"/>
  <c r="L15" i="1"/>
  <c r="L23" i="1"/>
  <c r="L31" i="1"/>
  <c r="L34" i="1" l="1"/>
  <c r="L35" i="1"/>
  <c r="L36" i="1"/>
  <c r="L38" i="1"/>
  <c r="L46" i="1"/>
  <c r="L44" i="1"/>
  <c r="L43" i="1"/>
  <c r="L42" i="1"/>
  <c r="L28" i="1"/>
  <c r="L22" i="1"/>
  <c r="L20" i="1"/>
  <c r="L12" i="1"/>
  <c r="L6" i="1"/>
  <c r="L4" i="1"/>
  <c r="L26" i="1"/>
  <c r="L19" i="1"/>
  <c r="L18" i="1"/>
  <c r="L2" i="1"/>
  <c r="L27" i="1"/>
  <c r="L11" i="1"/>
  <c r="L10" i="1"/>
  <c r="L3" i="1"/>
  <c r="L14" i="1"/>
</calcChain>
</file>

<file path=xl/sharedStrings.xml><?xml version="1.0" encoding="utf-8"?>
<sst xmlns="http://schemas.openxmlformats.org/spreadsheetml/2006/main" count="127" uniqueCount="40">
  <si>
    <t>Neo4j</t>
  </si>
  <si>
    <t>ArangoDB</t>
  </si>
  <si>
    <t>OrientDB</t>
  </si>
  <si>
    <t>Cypher</t>
  </si>
  <si>
    <t>AQL</t>
  </si>
  <si>
    <t>Gremlin</t>
  </si>
  <si>
    <t>Q1</t>
  </si>
  <si>
    <t>AVG</t>
  </si>
  <si>
    <t>Pokus</t>
  </si>
  <si>
    <t>Q2</t>
  </si>
  <si>
    <t>Q3</t>
  </si>
  <si>
    <t>Q4</t>
  </si>
  <si>
    <t>insert V</t>
  </si>
  <si>
    <t>insert E</t>
  </si>
  <si>
    <t>delete V</t>
  </si>
  <si>
    <t>delete E</t>
  </si>
  <si>
    <t>výsledek</t>
  </si>
  <si>
    <t>spočítá všechny sousedy vrcholu s id 1 do hloubky 2</t>
  </si>
  <si>
    <t>spočítá všechny sousedy  vrcholu s id 1 do hloubky 3</t>
  </si>
  <si>
    <t>spočítá všechny sousedy vrcholu s id 1 do hloubky 4</t>
  </si>
  <si>
    <t>spočítá všechny sousedy vrcholu s id 1 do hloubky 5</t>
  </si>
  <si>
    <t>Q5</t>
  </si>
  <si>
    <t>Q6</t>
  </si>
  <si>
    <t>-</t>
  </si>
  <si>
    <t>[]</t>
  </si>
  <si>
    <t>najde nejkratší orientovanou cestu z vrcholu s id 12000 do vrcholu s id 1047, přičemž cesta neexistuje</t>
  </si>
  <si>
    <t>najde nejkratší neorientovanou cestu mezi dvěma vrcholy s id 12000 a 1047</t>
  </si>
  <si>
    <t>insert Vertices</t>
  </si>
  <si>
    <t>insert Edges</t>
  </si>
  <si>
    <t>delete Vertices</t>
  </si>
  <si>
    <t>delete Edges</t>
  </si>
  <si>
    <t>hran = 3</t>
  </si>
  <si>
    <t>Gremlin LE</t>
  </si>
  <si>
    <t>SQL</t>
  </si>
  <si>
    <t>SQL LE</t>
  </si>
  <si>
    <t>zarazka</t>
  </si>
  <si>
    <t>Q7</t>
  </si>
  <si>
    <t>Q8</t>
  </si>
  <si>
    <t>průměrný věk jamesů</t>
  </si>
  <si>
    <t>počet uživatelů začínajících na 'Ma' s věkem vyšším než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</si>
</sst>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D5D6D6"/>
      <name val="Segoe UI"/>
      <family val="2"/>
      <charset val="238"/>
    </font>
    <font>
      <sz val="11"/>
      <color rgb="FF333333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right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performance!$A$2</c:f>
              <c:strCache>
                <c:ptCount val="1"/>
                <c:pt idx="0">
                  <c:v>Cypher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performance!$B$1:$L$1</c15:sqref>
                  </c15:fullRef>
                </c:ext>
              </c:extLst>
              <c:f>performance!$B$1:$K$1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performance!$B$2:$L$2</c15:sqref>
                  </c15:fullRef>
                </c:ext>
              </c:extLst>
              <c:f>performance!$B$2:$K$2</c:f>
              <c:numCache>
                <c:formatCode>General</c:formatCode>
                <c:ptCount val="10"/>
                <c:pt idx="0">
                  <c:v>5.0000000000000001E-3</c:v>
                </c:pt>
                <c:pt idx="1">
                  <c:v>6.0000000000000001E-3</c:v>
                </c:pt>
                <c:pt idx="2">
                  <c:v>6.0000000000000001E-3</c:v>
                </c:pt>
                <c:pt idx="3">
                  <c:v>0.03</c:v>
                </c:pt>
                <c:pt idx="4">
                  <c:v>7.0000000000000001E-3</c:v>
                </c:pt>
                <c:pt idx="5">
                  <c:v>6.0000000000000001E-3</c:v>
                </c:pt>
                <c:pt idx="6">
                  <c:v>8.0000000000000002E-3</c:v>
                </c:pt>
                <c:pt idx="7">
                  <c:v>6.0000000000000001E-3</c:v>
                </c:pt>
                <c:pt idx="8">
                  <c:v>6.0000000000000001E-3</c:v>
                </c:pt>
                <c:pt idx="9">
                  <c:v>6.0000000000000001E-3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CD-4E4A-A294-058EA57618F0}"/>
            </c:ext>
          </c:extLst>
        </c:ser>
        <c:ser>
          <c:idx val="1"/>
          <c:order val="1"/>
          <c:tx>
            <c:strRef>
              <c:f>performance!$A$3</c:f>
              <c:strCache>
                <c:ptCount val="1"/>
                <c:pt idx="0">
                  <c:v>AQL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performance!$B$1:$L$1</c15:sqref>
                  </c15:fullRef>
                </c:ext>
              </c:extLst>
              <c:f>performance!$B$1:$K$1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performance!$B$3:$L$3</c15:sqref>
                  </c15:fullRef>
                </c:ext>
              </c:extLst>
              <c:f>performance!$B$3:$K$3</c:f>
              <c:numCache>
                <c:formatCode>General</c:formatCode>
                <c:ptCount val="10"/>
                <c:pt idx="0">
                  <c:v>6.5000000000000002E-2</c:v>
                </c:pt>
                <c:pt idx="1">
                  <c:v>5.8999999999999997E-2</c:v>
                </c:pt>
                <c:pt idx="2">
                  <c:v>7.4999999999999997E-2</c:v>
                </c:pt>
                <c:pt idx="3">
                  <c:v>7.6999999999999999E-2</c:v>
                </c:pt>
                <c:pt idx="4">
                  <c:v>5.6000000000000001E-2</c:v>
                </c:pt>
                <c:pt idx="5">
                  <c:v>7.0999999999999994E-2</c:v>
                </c:pt>
                <c:pt idx="6">
                  <c:v>5.3999999999999999E-2</c:v>
                </c:pt>
                <c:pt idx="7">
                  <c:v>6.9000000000000006E-2</c:v>
                </c:pt>
                <c:pt idx="8">
                  <c:v>0.06</c:v>
                </c:pt>
                <c:pt idx="9">
                  <c:v>7.2999999999999995E-2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CD-4E4A-A294-058EA57618F0}"/>
            </c:ext>
          </c:extLst>
        </c:ser>
        <c:ser>
          <c:idx val="2"/>
          <c:order val="2"/>
          <c:tx>
            <c:strRef>
              <c:f>performance!$A$4</c:f>
              <c:strCache>
                <c:ptCount val="1"/>
                <c:pt idx="0">
                  <c:v>Gremlin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performance!$B$1:$L$1</c15:sqref>
                  </c15:fullRef>
                </c:ext>
              </c:extLst>
              <c:f>performance!$B$1:$K$1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performance!$B$4:$L$4</c15:sqref>
                  </c15:fullRef>
                </c:ext>
              </c:extLst>
              <c:f>performance!$B$4:$K$4</c:f>
              <c:numCache>
                <c:formatCode>General</c:formatCode>
                <c:ptCount val="10"/>
                <c:pt idx="0">
                  <c:v>2.7E-2</c:v>
                </c:pt>
                <c:pt idx="1">
                  <c:v>0.02</c:v>
                </c:pt>
                <c:pt idx="2">
                  <c:v>3.1E-2</c:v>
                </c:pt>
                <c:pt idx="3">
                  <c:v>2.1000000000000001E-2</c:v>
                </c:pt>
                <c:pt idx="4">
                  <c:v>2.1000000000000001E-2</c:v>
                </c:pt>
                <c:pt idx="5">
                  <c:v>3.2000000000000001E-2</c:v>
                </c:pt>
                <c:pt idx="6">
                  <c:v>2.7E-2</c:v>
                </c:pt>
                <c:pt idx="7">
                  <c:v>2.1000000000000001E-2</c:v>
                </c:pt>
                <c:pt idx="8">
                  <c:v>2.1000000000000001E-2</c:v>
                </c:pt>
                <c:pt idx="9">
                  <c:v>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CD-4E4A-A294-058EA57618F0}"/>
            </c:ext>
          </c:extLst>
        </c:ser>
        <c:ser>
          <c:idx val="3"/>
          <c:order val="3"/>
          <c:tx>
            <c:strRef>
              <c:f>performance!$A$6</c:f>
              <c:strCache>
                <c:ptCount val="1"/>
                <c:pt idx="0">
                  <c:v>SQL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performance!$B$1:$L$1</c15:sqref>
                  </c15:fullRef>
                </c:ext>
              </c:extLst>
              <c:f>performance!$B$1:$K$1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performance!$B$6:$L$6</c15:sqref>
                  </c15:fullRef>
                </c:ext>
              </c:extLst>
              <c:f>performance!$B$6:$K$6</c:f>
              <c:numCache>
                <c:formatCode>General</c:formatCode>
                <c:ptCount val="10"/>
                <c:pt idx="0">
                  <c:v>0.16</c:v>
                </c:pt>
                <c:pt idx="1">
                  <c:v>0.182</c:v>
                </c:pt>
                <c:pt idx="2">
                  <c:v>0.17399999999999999</c:v>
                </c:pt>
                <c:pt idx="3">
                  <c:v>0.19600000000000001</c:v>
                </c:pt>
                <c:pt idx="4">
                  <c:v>0.19</c:v>
                </c:pt>
                <c:pt idx="5">
                  <c:v>0.18</c:v>
                </c:pt>
                <c:pt idx="6">
                  <c:v>0.191</c:v>
                </c:pt>
                <c:pt idx="7">
                  <c:v>0.16400000000000001</c:v>
                </c:pt>
                <c:pt idx="8">
                  <c:v>0.19700000000000001</c:v>
                </c:pt>
                <c:pt idx="9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CD-4E4A-A294-058EA57618F0}"/>
            </c:ext>
          </c:extLst>
        </c:ser>
        <c:ser>
          <c:idx val="4"/>
          <c:order val="4"/>
          <c:tx>
            <c:strRef>
              <c:f>performance!$A$7</c:f>
              <c:strCache>
                <c:ptCount val="1"/>
                <c:pt idx="0">
                  <c:v>SQL LE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performance!$B$1:$L$1</c15:sqref>
                  </c15:fullRef>
                </c:ext>
              </c:extLst>
              <c:f>performance!$B$1:$K$1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performance!$B$7:$L$7</c15:sqref>
                  </c15:fullRef>
                </c:ext>
              </c:extLst>
              <c:f>performance!$B$7:$K$7</c:f>
              <c:numCache>
                <c:formatCode>General</c:formatCode>
                <c:ptCount val="10"/>
                <c:pt idx="0">
                  <c:v>0.16300000000000001</c:v>
                </c:pt>
                <c:pt idx="1">
                  <c:v>0.188</c:v>
                </c:pt>
                <c:pt idx="2">
                  <c:v>0.16800000000000001</c:v>
                </c:pt>
                <c:pt idx="3">
                  <c:v>0.16700000000000001</c:v>
                </c:pt>
                <c:pt idx="4">
                  <c:v>0.161</c:v>
                </c:pt>
                <c:pt idx="5">
                  <c:v>0.14899999999999999</c:v>
                </c:pt>
                <c:pt idx="6">
                  <c:v>0.14799999999999999</c:v>
                </c:pt>
                <c:pt idx="7">
                  <c:v>0.14399999999999999</c:v>
                </c:pt>
                <c:pt idx="8">
                  <c:v>0.14599999999999999</c:v>
                </c:pt>
                <c:pt idx="9">
                  <c:v>0.14399999999999999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70-4CF2-9C45-E00FA21F519F}"/>
            </c:ext>
          </c:extLst>
        </c:ser>
        <c:ser>
          <c:idx val="5"/>
          <c:order val="5"/>
          <c:tx>
            <c:strRef>
              <c:f>performance!$A$5</c:f>
              <c:strCache>
                <c:ptCount val="1"/>
                <c:pt idx="0">
                  <c:v>Gremlin 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performance!$B$1:$L$1</c15:sqref>
                  </c15:fullRef>
                </c:ext>
              </c:extLst>
              <c:f>performance!$B$1:$K$1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performance!$B$5:$L$5</c15:sqref>
                  </c15:fullRef>
                </c:ext>
              </c:extLst>
              <c:f>performance!$B$5:$K$5</c:f>
              <c:numCache>
                <c:formatCode>General</c:formatCode>
                <c:ptCount val="10"/>
                <c:pt idx="0">
                  <c:v>0.02</c:v>
                </c:pt>
                <c:pt idx="1">
                  <c:v>1.9E-2</c:v>
                </c:pt>
                <c:pt idx="2">
                  <c:v>1.9E-2</c:v>
                </c:pt>
                <c:pt idx="3">
                  <c:v>0.02</c:v>
                </c:pt>
                <c:pt idx="4">
                  <c:v>0.03</c:v>
                </c:pt>
                <c:pt idx="5">
                  <c:v>1.9E-2</c:v>
                </c:pt>
                <c:pt idx="6">
                  <c:v>1.9E-2</c:v>
                </c:pt>
                <c:pt idx="7">
                  <c:v>2.1000000000000001E-2</c:v>
                </c:pt>
                <c:pt idx="8">
                  <c:v>2.3E-2</c:v>
                </c:pt>
                <c:pt idx="9">
                  <c:v>1.9E-2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70-4CF2-9C45-E00FA21F5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487775"/>
        <c:axId val="1089165247"/>
      </c:lineChart>
      <c:catAx>
        <c:axId val="1090487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Pokus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165247"/>
        <c:crosses val="autoZero"/>
        <c:auto val="1"/>
        <c:lblAlgn val="ctr"/>
        <c:lblOffset val="100"/>
        <c:noMultiLvlLbl val="0"/>
      </c:catAx>
      <c:valAx>
        <c:axId val="108916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Čas  [s]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48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2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performance!$A$10</c:f>
              <c:strCache>
                <c:ptCount val="1"/>
                <c:pt idx="0">
                  <c:v>Cypher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performance!$B$10:$K$10</c:f>
              <c:numCache>
                <c:formatCode>General</c:formatCode>
                <c:ptCount val="10"/>
                <c:pt idx="0">
                  <c:v>0.28799999999999998</c:v>
                </c:pt>
                <c:pt idx="1">
                  <c:v>0.247</c:v>
                </c:pt>
                <c:pt idx="2">
                  <c:v>0.24399999999999999</c:v>
                </c:pt>
                <c:pt idx="3">
                  <c:v>0.20599999999999999</c:v>
                </c:pt>
                <c:pt idx="4">
                  <c:v>0.23100000000000001</c:v>
                </c:pt>
                <c:pt idx="5">
                  <c:v>0.26</c:v>
                </c:pt>
                <c:pt idx="6">
                  <c:v>0.32700000000000001</c:v>
                </c:pt>
                <c:pt idx="7">
                  <c:v>0.24199999999999999</c:v>
                </c:pt>
                <c:pt idx="8">
                  <c:v>0.23200000000000001</c:v>
                </c:pt>
                <c:pt idx="9">
                  <c:v>0.23300000000000001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63-4D86-AB87-E84023D1D9B8}"/>
            </c:ext>
          </c:extLst>
        </c:ser>
        <c:ser>
          <c:idx val="2"/>
          <c:order val="2"/>
          <c:tx>
            <c:strRef>
              <c:f>performance!$A$11</c:f>
              <c:strCache>
                <c:ptCount val="1"/>
                <c:pt idx="0">
                  <c:v>AQL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performance!$B$11:$K$11</c:f>
              <c:numCache>
                <c:formatCode>General</c:formatCode>
                <c:ptCount val="10"/>
                <c:pt idx="0">
                  <c:v>2.1669999999999998</c:v>
                </c:pt>
                <c:pt idx="1">
                  <c:v>2.0369999999999999</c:v>
                </c:pt>
                <c:pt idx="2">
                  <c:v>2.1309999999999998</c:v>
                </c:pt>
                <c:pt idx="3">
                  <c:v>2.1539999999999999</c:v>
                </c:pt>
                <c:pt idx="4">
                  <c:v>2.1749999999999998</c:v>
                </c:pt>
                <c:pt idx="5">
                  <c:v>2.1720000000000002</c:v>
                </c:pt>
                <c:pt idx="6">
                  <c:v>2.4609999999999999</c:v>
                </c:pt>
                <c:pt idx="7">
                  <c:v>2.1</c:v>
                </c:pt>
                <c:pt idx="8">
                  <c:v>2.1549999999999998</c:v>
                </c:pt>
                <c:pt idx="9">
                  <c:v>2.169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63-4D86-AB87-E84023D1D9B8}"/>
            </c:ext>
          </c:extLst>
        </c:ser>
        <c:ser>
          <c:idx val="3"/>
          <c:order val="3"/>
          <c:tx>
            <c:strRef>
              <c:f>performance!$A$12</c:f>
              <c:strCache>
                <c:ptCount val="1"/>
                <c:pt idx="0">
                  <c:v>Gremlin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performance!$B$12:$K$12</c:f>
              <c:numCache>
                <c:formatCode>General</c:formatCode>
                <c:ptCount val="10"/>
                <c:pt idx="0">
                  <c:v>3.1379999999999999</c:v>
                </c:pt>
                <c:pt idx="1">
                  <c:v>2.8980000000000001</c:v>
                </c:pt>
                <c:pt idx="2">
                  <c:v>3.0550000000000002</c:v>
                </c:pt>
                <c:pt idx="3">
                  <c:v>2.7280000000000002</c:v>
                </c:pt>
                <c:pt idx="4">
                  <c:v>5.3250000000000002</c:v>
                </c:pt>
                <c:pt idx="5">
                  <c:v>3.22</c:v>
                </c:pt>
                <c:pt idx="6">
                  <c:v>3.9620000000000002</c:v>
                </c:pt>
                <c:pt idx="7">
                  <c:v>3.7509999999999999</c:v>
                </c:pt>
                <c:pt idx="8">
                  <c:v>3.9319999999999999</c:v>
                </c:pt>
                <c:pt idx="9">
                  <c:v>3.8039999999999998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63-4D86-AB87-E84023D1D9B8}"/>
            </c:ext>
          </c:extLst>
        </c:ser>
        <c:ser>
          <c:idx val="4"/>
          <c:order val="4"/>
          <c:tx>
            <c:strRef>
              <c:f>performance!$A$14</c:f>
              <c:strCache>
                <c:ptCount val="1"/>
                <c:pt idx="0">
                  <c:v>SQL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performance!$B$14:$K$14</c:f>
              <c:numCache>
                <c:formatCode>General</c:formatCode>
                <c:ptCount val="10"/>
                <c:pt idx="0">
                  <c:v>6.2539999999999996</c:v>
                </c:pt>
                <c:pt idx="1">
                  <c:v>7.0019999999999998</c:v>
                </c:pt>
                <c:pt idx="2">
                  <c:v>6.9569999999999999</c:v>
                </c:pt>
                <c:pt idx="3">
                  <c:v>7.048</c:v>
                </c:pt>
                <c:pt idx="4">
                  <c:v>6.8529999999999998</c:v>
                </c:pt>
                <c:pt idx="5">
                  <c:v>7.1289999999999996</c:v>
                </c:pt>
                <c:pt idx="6">
                  <c:v>6.702</c:v>
                </c:pt>
                <c:pt idx="7">
                  <c:v>6.4059999999999997</c:v>
                </c:pt>
                <c:pt idx="8">
                  <c:v>6.6239999999999997</c:v>
                </c:pt>
                <c:pt idx="9">
                  <c:v>6.4660000000000002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63-4D86-AB87-E84023D1D9B8}"/>
            </c:ext>
          </c:extLst>
        </c:ser>
        <c:ser>
          <c:idx val="5"/>
          <c:order val="5"/>
          <c:tx>
            <c:strRef>
              <c:f>performance!$A$15</c:f>
              <c:strCache>
                <c:ptCount val="1"/>
                <c:pt idx="0">
                  <c:v>SQL LE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performance!$B$15:$K$15</c:f>
              <c:numCache>
                <c:formatCode>General</c:formatCode>
                <c:ptCount val="10"/>
                <c:pt idx="0">
                  <c:v>5.2220000000000004</c:v>
                </c:pt>
                <c:pt idx="1">
                  <c:v>5.282</c:v>
                </c:pt>
                <c:pt idx="2">
                  <c:v>4.9509999999999996</c:v>
                </c:pt>
                <c:pt idx="3">
                  <c:v>5.6070000000000002</c:v>
                </c:pt>
                <c:pt idx="4">
                  <c:v>5.2949999999999999</c:v>
                </c:pt>
                <c:pt idx="5">
                  <c:v>5.29</c:v>
                </c:pt>
                <c:pt idx="6">
                  <c:v>5.343</c:v>
                </c:pt>
                <c:pt idx="7">
                  <c:v>5.3019999999999996</c:v>
                </c:pt>
                <c:pt idx="8">
                  <c:v>5.2990000000000004</c:v>
                </c:pt>
                <c:pt idx="9">
                  <c:v>5.4580000000000002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8D-493A-B134-202402E7BE21}"/>
            </c:ext>
          </c:extLst>
        </c:ser>
        <c:ser>
          <c:idx val="6"/>
          <c:order val="6"/>
          <c:tx>
            <c:strRef>
              <c:f>performance!$A$13</c:f>
              <c:strCache>
                <c:ptCount val="1"/>
                <c:pt idx="0">
                  <c:v>Gremlin 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performance!$B$13:$K$13</c:f>
              <c:numCache>
                <c:formatCode>General</c:formatCode>
                <c:ptCount val="10"/>
                <c:pt idx="0">
                  <c:v>1.5269999999999999</c:v>
                </c:pt>
                <c:pt idx="1">
                  <c:v>1.4890000000000001</c:v>
                </c:pt>
                <c:pt idx="2">
                  <c:v>1.55</c:v>
                </c:pt>
                <c:pt idx="3">
                  <c:v>1.498</c:v>
                </c:pt>
                <c:pt idx="4">
                  <c:v>1.486</c:v>
                </c:pt>
                <c:pt idx="5">
                  <c:v>1.4730000000000001</c:v>
                </c:pt>
                <c:pt idx="6">
                  <c:v>1.494</c:v>
                </c:pt>
                <c:pt idx="7">
                  <c:v>1.4677</c:v>
                </c:pt>
                <c:pt idx="8">
                  <c:v>1.466</c:v>
                </c:pt>
                <c:pt idx="9">
                  <c:v>1.522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D-493A-B134-202402E7B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614431"/>
        <c:axId val="1088557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performance!$A$9</c15:sqref>
                        </c15:formulaRef>
                      </c:ext>
                    </c:extLst>
                    <c:strCache>
                      <c:ptCount val="1"/>
                      <c:pt idx="0">
                        <c:v>Q2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performance!$B$9:$K$9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763-4D86-AB87-E84023D1D9B8}"/>
                  </c:ext>
                </c:extLst>
              </c15:ser>
            </c15:filteredLineSeries>
          </c:ext>
        </c:extLst>
      </c:lineChart>
      <c:catAx>
        <c:axId val="1090614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Pokus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557167"/>
        <c:crosses val="autoZero"/>
        <c:auto val="1"/>
        <c:lblAlgn val="ctr"/>
        <c:lblOffset val="100"/>
        <c:noMultiLvlLbl val="0"/>
      </c:catAx>
      <c:valAx>
        <c:axId val="108855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Čas [s]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61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2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performance!$A$26</c:f>
              <c:strCache>
                <c:ptCount val="1"/>
                <c:pt idx="0">
                  <c:v>Cypher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performance!$B$26:$K$26</c:f>
              <c:numCache>
                <c:formatCode>General</c:formatCode>
                <c:ptCount val="10"/>
                <c:pt idx="0">
                  <c:v>2.306</c:v>
                </c:pt>
                <c:pt idx="1">
                  <c:v>2.6320000000000001</c:v>
                </c:pt>
                <c:pt idx="2">
                  <c:v>2.2829999999999999</c:v>
                </c:pt>
                <c:pt idx="3">
                  <c:v>2.4329999999999998</c:v>
                </c:pt>
                <c:pt idx="4">
                  <c:v>2.3530000000000002</c:v>
                </c:pt>
                <c:pt idx="5">
                  <c:v>2.3959999999999999</c:v>
                </c:pt>
                <c:pt idx="6">
                  <c:v>2.2490000000000001</c:v>
                </c:pt>
                <c:pt idx="7">
                  <c:v>2.5659999999999998</c:v>
                </c:pt>
                <c:pt idx="8">
                  <c:v>2.5529999999999999</c:v>
                </c:pt>
                <c:pt idx="9">
                  <c:v>2.4449999999999998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BD-44BE-B71B-D8C8496D5DA6}"/>
            </c:ext>
          </c:extLst>
        </c:ser>
        <c:ser>
          <c:idx val="2"/>
          <c:order val="2"/>
          <c:tx>
            <c:strRef>
              <c:f>performance!$A$27</c:f>
              <c:strCache>
                <c:ptCount val="1"/>
                <c:pt idx="0">
                  <c:v>AQL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performance!$B$27:$K$27</c:f>
              <c:numCache>
                <c:formatCode>General</c:formatCode>
                <c:ptCount val="10"/>
                <c:pt idx="0">
                  <c:v>12.84</c:v>
                </c:pt>
                <c:pt idx="1">
                  <c:v>13.263999999999999</c:v>
                </c:pt>
                <c:pt idx="2">
                  <c:v>12.856999999999999</c:v>
                </c:pt>
                <c:pt idx="3">
                  <c:v>13.038</c:v>
                </c:pt>
                <c:pt idx="4">
                  <c:v>13.116</c:v>
                </c:pt>
                <c:pt idx="5">
                  <c:v>13.196</c:v>
                </c:pt>
                <c:pt idx="6">
                  <c:v>13.112</c:v>
                </c:pt>
                <c:pt idx="7">
                  <c:v>12.935</c:v>
                </c:pt>
                <c:pt idx="8">
                  <c:v>13.16</c:v>
                </c:pt>
                <c:pt idx="9">
                  <c:v>13.085000000000001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BD-44BE-B71B-D8C8496D5DA6}"/>
            </c:ext>
          </c:extLst>
        </c:ser>
        <c:ser>
          <c:idx val="3"/>
          <c:order val="3"/>
          <c:tx>
            <c:strRef>
              <c:f>performance!$A$28</c:f>
              <c:strCache>
                <c:ptCount val="1"/>
                <c:pt idx="0">
                  <c:v>Gremlin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performance!$B$28:$K$28</c:f>
              <c:numCache>
                <c:formatCode>General</c:formatCode>
                <c:ptCount val="10"/>
                <c:pt idx="0">
                  <c:v>84.057000000000002</c:v>
                </c:pt>
                <c:pt idx="1">
                  <c:v>83.819000000000003</c:v>
                </c:pt>
                <c:pt idx="2">
                  <c:v>87.9</c:v>
                </c:pt>
                <c:pt idx="3">
                  <c:v>83.581999999999994</c:v>
                </c:pt>
                <c:pt idx="4">
                  <c:v>79.046000000000006</c:v>
                </c:pt>
                <c:pt idx="5">
                  <c:v>69.576999999999998</c:v>
                </c:pt>
                <c:pt idx="6">
                  <c:v>79.350999999999999</c:v>
                </c:pt>
                <c:pt idx="7">
                  <c:v>76.429000000000002</c:v>
                </c:pt>
                <c:pt idx="8">
                  <c:v>77.981999999999999</c:v>
                </c:pt>
                <c:pt idx="9">
                  <c:v>82.072999999999993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BD-44BE-B71B-D8C8496D5DA6}"/>
            </c:ext>
          </c:extLst>
        </c:ser>
        <c:ser>
          <c:idx val="4"/>
          <c:order val="4"/>
          <c:tx>
            <c:strRef>
              <c:f>performance!$A$30</c:f>
              <c:strCache>
                <c:ptCount val="1"/>
                <c:pt idx="0">
                  <c:v>SQL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performance!$B$30:$K$30</c:f>
              <c:numCache>
                <c:formatCode>General</c:formatCode>
                <c:ptCount val="10"/>
                <c:pt idx="0">
                  <c:v>72.956999999999994</c:v>
                </c:pt>
                <c:pt idx="1">
                  <c:v>74.742999999999995</c:v>
                </c:pt>
                <c:pt idx="2">
                  <c:v>78.183000000000007</c:v>
                </c:pt>
                <c:pt idx="3">
                  <c:v>73.454999999999998</c:v>
                </c:pt>
                <c:pt idx="4">
                  <c:v>70.302999999999997</c:v>
                </c:pt>
                <c:pt idx="5">
                  <c:v>71.822000000000003</c:v>
                </c:pt>
                <c:pt idx="6">
                  <c:v>71.528999999999996</c:v>
                </c:pt>
                <c:pt idx="7">
                  <c:v>72.44</c:v>
                </c:pt>
                <c:pt idx="8">
                  <c:v>70.861999999999995</c:v>
                </c:pt>
                <c:pt idx="9">
                  <c:v>72.620999999999995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BD-44BE-B71B-D8C8496D5DA6}"/>
            </c:ext>
          </c:extLst>
        </c:ser>
        <c:ser>
          <c:idx val="5"/>
          <c:order val="5"/>
          <c:tx>
            <c:strRef>
              <c:f>performance!$A$31</c:f>
              <c:strCache>
                <c:ptCount val="1"/>
                <c:pt idx="0">
                  <c:v>SQL LE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performance!$B$31:$K$31</c:f>
              <c:numCache>
                <c:formatCode>General</c:formatCode>
                <c:ptCount val="10"/>
                <c:pt idx="0">
                  <c:v>58.65</c:v>
                </c:pt>
                <c:pt idx="1">
                  <c:v>54.33</c:v>
                </c:pt>
                <c:pt idx="2">
                  <c:v>53.265000000000001</c:v>
                </c:pt>
                <c:pt idx="3">
                  <c:v>54.939</c:v>
                </c:pt>
                <c:pt idx="4">
                  <c:v>53.460999999999999</c:v>
                </c:pt>
                <c:pt idx="5">
                  <c:v>53.637</c:v>
                </c:pt>
                <c:pt idx="6">
                  <c:v>52.765000000000001</c:v>
                </c:pt>
                <c:pt idx="7">
                  <c:v>55.473999999999997</c:v>
                </c:pt>
                <c:pt idx="8">
                  <c:v>52.253</c:v>
                </c:pt>
                <c:pt idx="9">
                  <c:v>55.094000000000001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A-4F2F-9BB0-C393FC2556FA}"/>
            </c:ext>
          </c:extLst>
        </c:ser>
        <c:ser>
          <c:idx val="6"/>
          <c:order val="6"/>
          <c:tx>
            <c:strRef>
              <c:f>performance!$A$29</c:f>
              <c:strCache>
                <c:ptCount val="1"/>
                <c:pt idx="0">
                  <c:v>Gremlin 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performance!$B$29:$K$29</c:f>
              <c:numCache>
                <c:formatCode>General</c:formatCode>
                <c:ptCount val="10"/>
                <c:pt idx="0">
                  <c:v>27.693000000000001</c:v>
                </c:pt>
                <c:pt idx="1">
                  <c:v>27.507000000000001</c:v>
                </c:pt>
                <c:pt idx="2">
                  <c:v>33.180999999999997</c:v>
                </c:pt>
                <c:pt idx="3">
                  <c:v>32.54</c:v>
                </c:pt>
                <c:pt idx="4">
                  <c:v>33.92</c:v>
                </c:pt>
                <c:pt idx="5">
                  <c:v>31.702000000000002</c:v>
                </c:pt>
                <c:pt idx="6">
                  <c:v>28.611999999999998</c:v>
                </c:pt>
                <c:pt idx="7">
                  <c:v>28.021000000000001</c:v>
                </c:pt>
                <c:pt idx="8">
                  <c:v>28.466000000000001</c:v>
                </c:pt>
                <c:pt idx="9">
                  <c:v>31.314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A-4F2F-9BB0-C393FC255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3374895"/>
        <c:axId val="113708991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performance!$A$25</c15:sqref>
                        </c15:formulaRef>
                      </c:ext>
                    </c:extLst>
                    <c:strCache>
                      <c:ptCount val="1"/>
                      <c:pt idx="0">
                        <c:v>Q4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performance!$B$25:$K$25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2BD-44BE-B71B-D8C8496D5DA6}"/>
                  </c:ext>
                </c:extLst>
              </c15:ser>
            </c15:filteredLineSeries>
          </c:ext>
        </c:extLst>
      </c:lineChart>
      <c:catAx>
        <c:axId val="1143374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Pokus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089919"/>
        <c:crosses val="autoZero"/>
        <c:auto val="1"/>
        <c:lblAlgn val="ctr"/>
        <c:lblOffset val="100"/>
        <c:noMultiLvlLbl val="0"/>
      </c:catAx>
      <c:valAx>
        <c:axId val="113708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Čas [s]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7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2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performance!$A$42</c:f>
              <c:strCache>
                <c:ptCount val="1"/>
                <c:pt idx="0">
                  <c:v>Cypher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performance!$B$42:$K$42</c:f>
              <c:numCache>
                <c:formatCode>General</c:formatCode>
                <c:ptCount val="10"/>
                <c:pt idx="0">
                  <c:v>4.7E-2</c:v>
                </c:pt>
                <c:pt idx="1">
                  <c:v>1.7000000000000001E-2</c:v>
                </c:pt>
                <c:pt idx="2">
                  <c:v>1E-3</c:v>
                </c:pt>
                <c:pt idx="3">
                  <c:v>1.4999999999999999E-2</c:v>
                </c:pt>
                <c:pt idx="4">
                  <c:v>1E-3</c:v>
                </c:pt>
                <c:pt idx="5">
                  <c:v>1.6E-2</c:v>
                </c:pt>
                <c:pt idx="6">
                  <c:v>1.7000000000000001E-2</c:v>
                </c:pt>
                <c:pt idx="7">
                  <c:v>1.0999999999999999E-2</c:v>
                </c:pt>
                <c:pt idx="8">
                  <c:v>3.4000000000000002E-2</c:v>
                </c:pt>
                <c:pt idx="9">
                  <c:v>1.6E-2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D3-48BB-A6DC-F05ECBE88979}"/>
            </c:ext>
          </c:extLst>
        </c:ser>
        <c:ser>
          <c:idx val="2"/>
          <c:order val="1"/>
          <c:tx>
            <c:strRef>
              <c:f>performance!$A$43</c:f>
              <c:strCache>
                <c:ptCount val="1"/>
                <c:pt idx="0">
                  <c:v>AQL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performance!$B$43:$K$43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D3-48BB-A6DC-F05ECBE88979}"/>
            </c:ext>
          </c:extLst>
        </c:ser>
        <c:ser>
          <c:idx val="3"/>
          <c:order val="2"/>
          <c:tx>
            <c:strRef>
              <c:f>performance!$A$44</c:f>
              <c:strCache>
                <c:ptCount val="1"/>
                <c:pt idx="0">
                  <c:v>Gremlin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performance!$B$44:$K$44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D3-48BB-A6DC-F05ECBE88979}"/>
            </c:ext>
          </c:extLst>
        </c:ser>
        <c:ser>
          <c:idx val="4"/>
          <c:order val="3"/>
          <c:tx>
            <c:strRef>
              <c:f>performance!$A$46</c:f>
              <c:strCache>
                <c:ptCount val="1"/>
                <c:pt idx="0">
                  <c:v>SQL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performance!$B$46:$K$46</c:f>
              <c:numCache>
                <c:formatCode>General</c:formatCode>
                <c:ptCount val="10"/>
                <c:pt idx="0">
                  <c:v>1.4570000000000001</c:v>
                </c:pt>
                <c:pt idx="1">
                  <c:v>1.226</c:v>
                </c:pt>
                <c:pt idx="2">
                  <c:v>1.25</c:v>
                </c:pt>
                <c:pt idx="3">
                  <c:v>1.292</c:v>
                </c:pt>
                <c:pt idx="4">
                  <c:v>1.3180000000000001</c:v>
                </c:pt>
                <c:pt idx="5">
                  <c:v>1.3109999999999999</c:v>
                </c:pt>
                <c:pt idx="6">
                  <c:v>1.395</c:v>
                </c:pt>
                <c:pt idx="7">
                  <c:v>1.25</c:v>
                </c:pt>
                <c:pt idx="8">
                  <c:v>1.343</c:v>
                </c:pt>
                <c:pt idx="9">
                  <c:v>1.256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D3-48BB-A6DC-F05ECBE88979}"/>
            </c:ext>
          </c:extLst>
        </c:ser>
        <c:ser>
          <c:idx val="0"/>
          <c:order val="4"/>
          <c:tx>
            <c:strRef>
              <c:f>performance!$A$47</c:f>
              <c:strCache>
                <c:ptCount val="1"/>
                <c:pt idx="0">
                  <c:v>SQL LE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performance!$B$47:$K$47</c:f>
              <c:numCache>
                <c:formatCode>General</c:formatCode>
                <c:ptCount val="10"/>
                <c:pt idx="0">
                  <c:v>0.93899999999999995</c:v>
                </c:pt>
                <c:pt idx="1">
                  <c:v>0.82499999999999996</c:v>
                </c:pt>
                <c:pt idx="2">
                  <c:v>0.82399999999999995</c:v>
                </c:pt>
                <c:pt idx="3">
                  <c:v>0.84299999999999997</c:v>
                </c:pt>
                <c:pt idx="4">
                  <c:v>0.85099999999999998</c:v>
                </c:pt>
                <c:pt idx="5">
                  <c:v>0.82799999999999996</c:v>
                </c:pt>
                <c:pt idx="6">
                  <c:v>0.83199999999999996</c:v>
                </c:pt>
                <c:pt idx="7">
                  <c:v>0.79600000000000004</c:v>
                </c:pt>
                <c:pt idx="8">
                  <c:v>0.78500000000000003</c:v>
                </c:pt>
                <c:pt idx="9">
                  <c:v>0.78700000000000003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12-4510-A19E-984FCD93E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621936"/>
        <c:axId val="814622416"/>
      </c:lineChart>
      <c:catAx>
        <c:axId val="814621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Pokus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622416"/>
        <c:crosses val="autoZero"/>
        <c:auto val="1"/>
        <c:lblAlgn val="ctr"/>
        <c:lblOffset val="100"/>
        <c:noMultiLvlLbl val="0"/>
      </c:catAx>
      <c:valAx>
        <c:axId val="81462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Čas [s]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62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2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performance!$A$34</c:f>
              <c:strCache>
                <c:ptCount val="1"/>
                <c:pt idx="0">
                  <c:v>Cypher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performance!$A$33:$K$33</c15:sqref>
                  </c15:fullRef>
                </c:ext>
              </c:extLst>
              <c:f>performance!$B$33:$K$33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performance!$B$34:$K$34</c15:sqref>
                  </c15:fullRef>
                </c:ext>
              </c:extLst>
              <c:f>performance!$C$34:$K$34</c:f>
              <c:numCache>
                <c:formatCode>General</c:formatCode>
                <c:ptCount val="9"/>
                <c:pt idx="0">
                  <c:v>5.0000000000000001E-3</c:v>
                </c:pt>
                <c:pt idx="1">
                  <c:v>5.0000000000000001E-3</c:v>
                </c:pt>
                <c:pt idx="2">
                  <c:v>7.0000000000000001E-3</c:v>
                </c:pt>
                <c:pt idx="3">
                  <c:v>1E-3</c:v>
                </c:pt>
                <c:pt idx="4">
                  <c:v>1E-3</c:v>
                </c:pt>
                <c:pt idx="5">
                  <c:v>4.0000000000000001E-3</c:v>
                </c:pt>
                <c:pt idx="6">
                  <c:v>7.0000000000000001E-3</c:v>
                </c:pt>
                <c:pt idx="7">
                  <c:v>1.4999999999999999E-2</c:v>
                </c:pt>
                <c:pt idx="8">
                  <c:v>2.8000000000000001E-2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C-46B1-B20B-FB7A69FCBB64}"/>
            </c:ext>
          </c:extLst>
        </c:ser>
        <c:ser>
          <c:idx val="2"/>
          <c:order val="2"/>
          <c:tx>
            <c:strRef>
              <c:f>performance!$A$35</c:f>
              <c:strCache>
                <c:ptCount val="1"/>
                <c:pt idx="0">
                  <c:v>AQL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performance!$A$33:$K$33</c15:sqref>
                  </c15:fullRef>
                </c:ext>
              </c:extLst>
              <c:f>performance!$B$33:$K$33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performance!$B$35:$K$35</c15:sqref>
                  </c15:fullRef>
                </c:ext>
              </c:extLst>
              <c:f>performance!$C$35:$K$35</c:f>
              <c:numCache>
                <c:formatCode>General</c:formatCode>
                <c:ptCount val="9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2E-3</c:v>
                </c:pt>
                <c:pt idx="4">
                  <c:v>1E-3</c:v>
                </c:pt>
                <c:pt idx="5">
                  <c:v>2E-3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8C-46B1-B20B-FB7A69FCBB64}"/>
            </c:ext>
          </c:extLst>
        </c:ser>
        <c:ser>
          <c:idx val="3"/>
          <c:order val="3"/>
          <c:tx>
            <c:strRef>
              <c:f>performance!$A$36</c:f>
              <c:strCache>
                <c:ptCount val="1"/>
                <c:pt idx="0">
                  <c:v>Gremlin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performance!$A$33:$K$33</c15:sqref>
                  </c15:fullRef>
                </c:ext>
              </c:extLst>
              <c:f>performance!$B$33:$K$33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performance!$B$36:$K$36</c15:sqref>
                  </c15:fullRef>
                </c:ext>
              </c:extLst>
              <c:f>performance!$C$36:$K$36</c:f>
              <c:numCache>
                <c:formatCode>General</c:formatCode>
                <c:ptCount val="9"/>
                <c:pt idx="0">
                  <c:v>9.5000000000000001E-2</c:v>
                </c:pt>
                <c:pt idx="1">
                  <c:v>0.106</c:v>
                </c:pt>
                <c:pt idx="2">
                  <c:v>8.1000000000000003E-2</c:v>
                </c:pt>
                <c:pt idx="3">
                  <c:v>8.6999999999999994E-2</c:v>
                </c:pt>
                <c:pt idx="4">
                  <c:v>0.10199999999999999</c:v>
                </c:pt>
                <c:pt idx="5">
                  <c:v>7.8E-2</c:v>
                </c:pt>
                <c:pt idx="6">
                  <c:v>0.10199999999999999</c:v>
                </c:pt>
                <c:pt idx="7">
                  <c:v>8.2000000000000003E-2</c:v>
                </c:pt>
                <c:pt idx="8">
                  <c:v>0.113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8C-46B1-B20B-FB7A69FCBB64}"/>
            </c:ext>
          </c:extLst>
        </c:ser>
        <c:ser>
          <c:idx val="4"/>
          <c:order val="4"/>
          <c:tx>
            <c:strRef>
              <c:f>performance!$A$37</c:f>
              <c:strCache>
                <c:ptCount val="1"/>
                <c:pt idx="0">
                  <c:v>Gremlin 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performance!$A$33:$K$33</c15:sqref>
                  </c15:fullRef>
                </c:ext>
              </c:extLst>
              <c:f>performance!$B$33:$K$33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performance!$B$37:$K$37</c15:sqref>
                  </c15:fullRef>
                </c:ext>
              </c:extLst>
              <c:f>performance!$C$37:$K$37</c:f>
              <c:numCache>
                <c:formatCode>General</c:formatCode>
                <c:ptCount val="9"/>
                <c:pt idx="0">
                  <c:v>8.5999999999999993E-2</c:v>
                </c:pt>
                <c:pt idx="1">
                  <c:v>6.5000000000000002E-2</c:v>
                </c:pt>
                <c:pt idx="2">
                  <c:v>0.16600000000000001</c:v>
                </c:pt>
                <c:pt idx="3">
                  <c:v>0.06</c:v>
                </c:pt>
                <c:pt idx="4">
                  <c:v>6.7000000000000004E-2</c:v>
                </c:pt>
                <c:pt idx="5">
                  <c:v>9.7000000000000003E-2</c:v>
                </c:pt>
                <c:pt idx="6">
                  <c:v>5.8000000000000003E-2</c:v>
                </c:pt>
                <c:pt idx="7">
                  <c:v>5.6000000000000001E-2</c:v>
                </c:pt>
                <c:pt idx="8">
                  <c:v>5.6000000000000001E-2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8C-46B1-B20B-FB7A69FCBB64}"/>
            </c:ext>
          </c:extLst>
        </c:ser>
        <c:ser>
          <c:idx val="5"/>
          <c:order val="5"/>
          <c:tx>
            <c:strRef>
              <c:f>performance!$A$38</c:f>
              <c:strCache>
                <c:ptCount val="1"/>
                <c:pt idx="0">
                  <c:v>SQL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performance!$A$33:$K$33</c15:sqref>
                  </c15:fullRef>
                </c:ext>
              </c:extLst>
              <c:f>performance!$B$33:$K$33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performance!$B$38:$K$38</c15:sqref>
                  </c15:fullRef>
                </c:ext>
              </c:extLst>
              <c:f>performance!$C$38:$K$38</c:f>
              <c:numCache>
                <c:formatCode>General</c:formatCode>
                <c:ptCount val="9"/>
                <c:pt idx="0">
                  <c:v>2.1000000000000001E-2</c:v>
                </c:pt>
                <c:pt idx="1">
                  <c:v>2.3E-2</c:v>
                </c:pt>
                <c:pt idx="2">
                  <c:v>1.4999999999999999E-2</c:v>
                </c:pt>
                <c:pt idx="3">
                  <c:v>1.7000000000000001E-2</c:v>
                </c:pt>
                <c:pt idx="4">
                  <c:v>1.4999999999999999E-2</c:v>
                </c:pt>
                <c:pt idx="5">
                  <c:v>1.2999999999999999E-2</c:v>
                </c:pt>
                <c:pt idx="6">
                  <c:v>1.6E-2</c:v>
                </c:pt>
                <c:pt idx="7">
                  <c:v>1.7000000000000001E-2</c:v>
                </c:pt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8C-46B1-B20B-FB7A69FCBB64}"/>
            </c:ext>
          </c:extLst>
        </c:ser>
        <c:ser>
          <c:idx val="6"/>
          <c:order val="6"/>
          <c:tx>
            <c:strRef>
              <c:f>performance!$A$39</c:f>
              <c:strCache>
                <c:ptCount val="1"/>
                <c:pt idx="0">
                  <c:v>SQL LE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performance!$A$33:$K$33</c15:sqref>
                  </c15:fullRef>
                </c:ext>
              </c:extLst>
              <c:f>performance!$B$33:$K$33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performance!$B$39:$K$39</c15:sqref>
                  </c15:fullRef>
                </c:ext>
              </c:extLst>
              <c:f>performance!$C$39:$K$39</c:f>
              <c:numCache>
                <c:formatCode>General</c:formatCode>
                <c:ptCount val="9"/>
                <c:pt idx="0">
                  <c:v>1.6E-2</c:v>
                </c:pt>
                <c:pt idx="1">
                  <c:v>1.7999999999999999E-2</c:v>
                </c:pt>
                <c:pt idx="2">
                  <c:v>2.1000000000000001E-2</c:v>
                </c:pt>
                <c:pt idx="3">
                  <c:v>1.4E-2</c:v>
                </c:pt>
                <c:pt idx="4">
                  <c:v>1.7000000000000001E-2</c:v>
                </c:pt>
                <c:pt idx="5">
                  <c:v>1.7000000000000001E-2</c:v>
                </c:pt>
                <c:pt idx="6">
                  <c:v>1.7999999999999999E-2</c:v>
                </c:pt>
                <c:pt idx="7">
                  <c:v>2.5999999999999999E-2</c:v>
                </c:pt>
                <c:pt idx="8">
                  <c:v>2.7E-2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8C-46B1-B20B-FB7A69FCB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5720768"/>
        <c:axId val="12757231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performance!$A$33</c15:sqref>
                        </c15:formulaRef>
                      </c:ext>
                    </c:extLst>
                    <c:strCache>
                      <c:ptCount val="1"/>
                      <c:pt idx="0">
                        <c:v>Q5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performance!$A$33:$K$33</c15:sqref>
                        </c15:fullRef>
                        <c15:formulaRef>
                          <c15:sqref>performance!$B$33:$K$33</c15:sqref>
                        </c15:formulaRef>
                      </c:ext>
                    </c:extLst>
                    <c:strCach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performance!$B$33:$K$33</c15:sqref>
                        </c15:fullRef>
                        <c15:formulaRef>
                          <c15:sqref>performance!$C$33:$K$33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9</c:v>
                      </c:pt>
                      <c:pt idx="8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38C-46B1-B20B-FB7A69FCBB64}"/>
                  </c:ext>
                </c:extLst>
              </c15:ser>
            </c15:filteredLineSeries>
          </c:ext>
        </c:extLst>
      </c:lineChart>
      <c:catAx>
        <c:axId val="1275720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Pokus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723168"/>
        <c:crosses val="autoZero"/>
        <c:auto val="1"/>
        <c:lblAlgn val="ctr"/>
        <c:lblOffset val="100"/>
        <c:noMultiLvlLbl val="0"/>
      </c:catAx>
      <c:valAx>
        <c:axId val="127572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Čas [s]</a:t>
                </a:r>
                <a:endParaRPr lang="en-GB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72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2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performance!$A$18</c:f>
              <c:strCache>
                <c:ptCount val="1"/>
                <c:pt idx="0">
                  <c:v>Cypher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performance!$B$18:$K$18</c:f>
              <c:numCache>
                <c:formatCode>General</c:formatCode>
                <c:ptCount val="10"/>
                <c:pt idx="0">
                  <c:v>1.635</c:v>
                </c:pt>
                <c:pt idx="1">
                  <c:v>1.5609999999999999</c:v>
                </c:pt>
                <c:pt idx="2">
                  <c:v>1.593</c:v>
                </c:pt>
                <c:pt idx="3">
                  <c:v>1.5249999999999999</c:v>
                </c:pt>
                <c:pt idx="4">
                  <c:v>1.484</c:v>
                </c:pt>
                <c:pt idx="5">
                  <c:v>1.4910000000000001</c:v>
                </c:pt>
                <c:pt idx="6">
                  <c:v>1.4350000000000001</c:v>
                </c:pt>
                <c:pt idx="7">
                  <c:v>1.6739999999999999</c:v>
                </c:pt>
                <c:pt idx="8">
                  <c:v>1.552</c:v>
                </c:pt>
                <c:pt idx="9">
                  <c:v>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DF-458A-8D12-8FB23D11BD3C}"/>
            </c:ext>
          </c:extLst>
        </c:ser>
        <c:ser>
          <c:idx val="2"/>
          <c:order val="2"/>
          <c:tx>
            <c:strRef>
              <c:f>performance!$A$19</c:f>
              <c:strCache>
                <c:ptCount val="1"/>
                <c:pt idx="0">
                  <c:v>AQL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performance!$B$19:$K$19</c:f>
              <c:numCache>
                <c:formatCode>General</c:formatCode>
                <c:ptCount val="10"/>
                <c:pt idx="0">
                  <c:v>8.9309999999999992</c:v>
                </c:pt>
                <c:pt idx="1">
                  <c:v>8.9280000000000008</c:v>
                </c:pt>
                <c:pt idx="2">
                  <c:v>8.9</c:v>
                </c:pt>
                <c:pt idx="3">
                  <c:v>9.2409999999999997</c:v>
                </c:pt>
                <c:pt idx="4">
                  <c:v>8.8729999999999993</c:v>
                </c:pt>
                <c:pt idx="5">
                  <c:v>9.0340000000000007</c:v>
                </c:pt>
                <c:pt idx="6">
                  <c:v>9.0060000000000002</c:v>
                </c:pt>
                <c:pt idx="7">
                  <c:v>8.9719999999999995</c:v>
                </c:pt>
                <c:pt idx="8">
                  <c:v>8.9949999999999992</c:v>
                </c:pt>
                <c:pt idx="9">
                  <c:v>8.9600000000000009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DF-458A-8D12-8FB23D11BD3C}"/>
            </c:ext>
          </c:extLst>
        </c:ser>
        <c:ser>
          <c:idx val="3"/>
          <c:order val="3"/>
          <c:tx>
            <c:strRef>
              <c:f>performance!$A$20</c:f>
              <c:strCache>
                <c:ptCount val="1"/>
                <c:pt idx="0">
                  <c:v>Gremlin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performance!$B$20:$K$20</c:f>
              <c:numCache>
                <c:formatCode>General</c:formatCode>
                <c:ptCount val="10"/>
                <c:pt idx="0">
                  <c:v>33.542000000000002</c:v>
                </c:pt>
                <c:pt idx="1">
                  <c:v>34.146999999999998</c:v>
                </c:pt>
                <c:pt idx="2">
                  <c:v>34.21</c:v>
                </c:pt>
                <c:pt idx="3">
                  <c:v>33.317999999999998</c:v>
                </c:pt>
                <c:pt idx="4">
                  <c:v>35.713000000000001</c:v>
                </c:pt>
                <c:pt idx="5">
                  <c:v>36.479999999999997</c:v>
                </c:pt>
                <c:pt idx="6">
                  <c:v>33.959000000000003</c:v>
                </c:pt>
                <c:pt idx="7">
                  <c:v>33.459000000000003</c:v>
                </c:pt>
                <c:pt idx="8">
                  <c:v>34.555</c:v>
                </c:pt>
                <c:pt idx="9">
                  <c:v>34.398000000000003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DF-458A-8D12-8FB23D11BD3C}"/>
            </c:ext>
          </c:extLst>
        </c:ser>
        <c:ser>
          <c:idx val="4"/>
          <c:order val="4"/>
          <c:tx>
            <c:strRef>
              <c:f>performance!$A$21</c:f>
              <c:strCache>
                <c:ptCount val="1"/>
                <c:pt idx="0">
                  <c:v>Gremlin 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performance!$B$21:$K$21</c:f>
              <c:numCache>
                <c:formatCode>General</c:formatCode>
                <c:ptCount val="10"/>
                <c:pt idx="0">
                  <c:v>11.917</c:v>
                </c:pt>
                <c:pt idx="1">
                  <c:v>11.808</c:v>
                </c:pt>
                <c:pt idx="2">
                  <c:v>14.446</c:v>
                </c:pt>
                <c:pt idx="3">
                  <c:v>11.756</c:v>
                </c:pt>
                <c:pt idx="4">
                  <c:v>11.567</c:v>
                </c:pt>
                <c:pt idx="5">
                  <c:v>11.455</c:v>
                </c:pt>
                <c:pt idx="6">
                  <c:v>14.759</c:v>
                </c:pt>
                <c:pt idx="7">
                  <c:v>11.553000000000001</c:v>
                </c:pt>
                <c:pt idx="8">
                  <c:v>12.914</c:v>
                </c:pt>
                <c:pt idx="9">
                  <c:v>11.545999999999999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DF-458A-8D12-8FB23D11BD3C}"/>
            </c:ext>
          </c:extLst>
        </c:ser>
        <c:ser>
          <c:idx val="5"/>
          <c:order val="5"/>
          <c:tx>
            <c:strRef>
              <c:f>performance!$A$22</c:f>
              <c:strCache>
                <c:ptCount val="1"/>
                <c:pt idx="0">
                  <c:v>SQL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performance!$B$22:$K$22</c:f>
              <c:numCache>
                <c:formatCode>General</c:formatCode>
                <c:ptCount val="10"/>
                <c:pt idx="0">
                  <c:v>50.683</c:v>
                </c:pt>
                <c:pt idx="1">
                  <c:v>53.917999999999999</c:v>
                </c:pt>
                <c:pt idx="2">
                  <c:v>51.317</c:v>
                </c:pt>
                <c:pt idx="3">
                  <c:v>50.415999999999997</c:v>
                </c:pt>
                <c:pt idx="4">
                  <c:v>50.917999999999999</c:v>
                </c:pt>
                <c:pt idx="5">
                  <c:v>50.692999999999998</c:v>
                </c:pt>
                <c:pt idx="6">
                  <c:v>50.76</c:v>
                </c:pt>
                <c:pt idx="7">
                  <c:v>50.936</c:v>
                </c:pt>
                <c:pt idx="8">
                  <c:v>50.365000000000002</c:v>
                </c:pt>
                <c:pt idx="9">
                  <c:v>52.921999999999997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DF-458A-8D12-8FB23D11BD3C}"/>
            </c:ext>
          </c:extLst>
        </c:ser>
        <c:ser>
          <c:idx val="6"/>
          <c:order val="6"/>
          <c:tx>
            <c:strRef>
              <c:f>performance!$A$23</c:f>
              <c:strCache>
                <c:ptCount val="1"/>
                <c:pt idx="0">
                  <c:v>SQL LE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performance!$B$23:$K$23</c:f>
              <c:numCache>
                <c:formatCode>General</c:formatCode>
                <c:ptCount val="10"/>
                <c:pt idx="0">
                  <c:v>36.08</c:v>
                </c:pt>
                <c:pt idx="1">
                  <c:v>37.817</c:v>
                </c:pt>
                <c:pt idx="2">
                  <c:v>37.625</c:v>
                </c:pt>
                <c:pt idx="3">
                  <c:v>37.179000000000002</c:v>
                </c:pt>
                <c:pt idx="4">
                  <c:v>38.295000000000002</c:v>
                </c:pt>
                <c:pt idx="5">
                  <c:v>35.985999999999997</c:v>
                </c:pt>
                <c:pt idx="6">
                  <c:v>37.012999999999998</c:v>
                </c:pt>
                <c:pt idx="7">
                  <c:v>36.987000000000002</c:v>
                </c:pt>
                <c:pt idx="8">
                  <c:v>37.116999999999997</c:v>
                </c:pt>
                <c:pt idx="9">
                  <c:v>36.863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DF-458A-8D12-8FB23D11B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666736"/>
        <c:axId val="16088821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performance!$A$17</c15:sqref>
                        </c15:formulaRef>
                      </c:ext>
                    </c:extLst>
                    <c:strCache>
                      <c:ptCount val="1"/>
                      <c:pt idx="0">
                        <c:v>Q3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performance!$B$17:$K$17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1DF-458A-8D12-8FB23D11BD3C}"/>
                  </c:ext>
                </c:extLst>
              </c15:ser>
            </c15:filteredLineSeries>
          </c:ext>
        </c:extLst>
      </c:lineChart>
      <c:catAx>
        <c:axId val="1483666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Pokus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882144"/>
        <c:crosses val="autoZero"/>
        <c:auto val="1"/>
        <c:lblAlgn val="ctr"/>
        <c:lblOffset val="100"/>
        <c:noMultiLvlLbl val="0"/>
      </c:catAx>
      <c:valAx>
        <c:axId val="160888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Čas[s]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66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2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properties!$A$2</c:f>
              <c:strCache>
                <c:ptCount val="1"/>
                <c:pt idx="0">
                  <c:v>Cypher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properties!$B$1:$L$1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AVG</c:v>
                </c:pt>
              </c:strCache>
            </c:strRef>
          </c:cat>
          <c:val>
            <c:numRef>
              <c:f>properties!$B$2:$L$2</c:f>
              <c:numCache>
                <c:formatCode>General</c:formatCode>
                <c:ptCount val="11"/>
                <c:pt idx="0">
                  <c:v>0.182</c:v>
                </c:pt>
                <c:pt idx="1">
                  <c:v>0.18099999999999999</c:v>
                </c:pt>
                <c:pt idx="2">
                  <c:v>0.20100000000000001</c:v>
                </c:pt>
                <c:pt idx="3">
                  <c:v>0.185</c:v>
                </c:pt>
                <c:pt idx="4">
                  <c:v>0.186</c:v>
                </c:pt>
                <c:pt idx="5">
                  <c:v>0.21099999999999999</c:v>
                </c:pt>
                <c:pt idx="6">
                  <c:v>0.182</c:v>
                </c:pt>
                <c:pt idx="7">
                  <c:v>0.18099999999999999</c:v>
                </c:pt>
                <c:pt idx="8">
                  <c:v>0.19400000000000001</c:v>
                </c:pt>
                <c:pt idx="9">
                  <c:v>0.246</c:v>
                </c:pt>
                <c:pt idx="10">
                  <c:v>0.19490000000000002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BA-46FE-93E5-3FA7CFC3AAB5}"/>
            </c:ext>
          </c:extLst>
        </c:ser>
        <c:ser>
          <c:idx val="1"/>
          <c:order val="1"/>
          <c:tx>
            <c:strRef>
              <c:f>properties!$A$3</c:f>
              <c:strCache>
                <c:ptCount val="1"/>
                <c:pt idx="0">
                  <c:v>AQL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properties!$B$1:$L$1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AVG</c:v>
                </c:pt>
              </c:strCache>
            </c:strRef>
          </c:cat>
          <c:val>
            <c:numRef>
              <c:f>properties!$B$3:$L$3</c:f>
              <c:numCache>
                <c:formatCode>General</c:formatCode>
                <c:ptCount val="11"/>
                <c:pt idx="0">
                  <c:v>0.35099999999999998</c:v>
                </c:pt>
                <c:pt idx="1">
                  <c:v>0.35399999999999998</c:v>
                </c:pt>
                <c:pt idx="2">
                  <c:v>0.40600000000000003</c:v>
                </c:pt>
                <c:pt idx="3">
                  <c:v>0.312</c:v>
                </c:pt>
                <c:pt idx="4">
                  <c:v>0.34100000000000003</c:v>
                </c:pt>
                <c:pt idx="5">
                  <c:v>0.34899999999999998</c:v>
                </c:pt>
                <c:pt idx="6">
                  <c:v>0.34300000000000003</c:v>
                </c:pt>
                <c:pt idx="7">
                  <c:v>0.32800000000000001</c:v>
                </c:pt>
                <c:pt idx="8">
                  <c:v>0.376</c:v>
                </c:pt>
                <c:pt idx="9">
                  <c:v>0.32800000000000001</c:v>
                </c:pt>
                <c:pt idx="10">
                  <c:v>0.34879999999999994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BA-46FE-93E5-3FA7CFC3AAB5}"/>
            </c:ext>
          </c:extLst>
        </c:ser>
        <c:ser>
          <c:idx val="2"/>
          <c:order val="2"/>
          <c:tx>
            <c:strRef>
              <c:f>properties!$A$4</c:f>
              <c:strCache>
                <c:ptCount val="1"/>
                <c:pt idx="0">
                  <c:v>Gremlin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properties!$B$1:$L$1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AVG</c:v>
                </c:pt>
              </c:strCache>
            </c:strRef>
          </c:cat>
          <c:val>
            <c:numRef>
              <c:f>properties!$B$4:$L$4</c:f>
              <c:numCache>
                <c:formatCode>General</c:formatCode>
                <c:ptCount val="11"/>
                <c:pt idx="0">
                  <c:v>3.9929999999999999</c:v>
                </c:pt>
                <c:pt idx="1">
                  <c:v>3.7229999999999999</c:v>
                </c:pt>
                <c:pt idx="2">
                  <c:v>3.8580000000000001</c:v>
                </c:pt>
                <c:pt idx="3">
                  <c:v>4.0599999999999996</c:v>
                </c:pt>
                <c:pt idx="4">
                  <c:v>3.794</c:v>
                </c:pt>
                <c:pt idx="5">
                  <c:v>3.7120000000000002</c:v>
                </c:pt>
                <c:pt idx="6">
                  <c:v>3.8610000000000002</c:v>
                </c:pt>
                <c:pt idx="7">
                  <c:v>4.2270000000000003</c:v>
                </c:pt>
                <c:pt idx="8">
                  <c:v>4.1459999999999999</c:v>
                </c:pt>
                <c:pt idx="9">
                  <c:v>3.9449999999999998</c:v>
                </c:pt>
                <c:pt idx="10">
                  <c:v>3.9319000000000002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BA-46FE-93E5-3FA7CFC3AAB5}"/>
            </c:ext>
          </c:extLst>
        </c:ser>
        <c:ser>
          <c:idx val="3"/>
          <c:order val="3"/>
          <c:tx>
            <c:strRef>
              <c:f>properties!$A$5</c:f>
              <c:strCache>
                <c:ptCount val="1"/>
                <c:pt idx="0">
                  <c:v>SQL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properties!$B$1:$L$1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AVG</c:v>
                </c:pt>
              </c:strCache>
            </c:strRef>
          </c:cat>
          <c:val>
            <c:numRef>
              <c:f>properties!$B$5:$L$5</c:f>
              <c:numCache>
                <c:formatCode>General</c:formatCode>
                <c:ptCount val="11"/>
                <c:pt idx="0">
                  <c:v>7.8849999999999998</c:v>
                </c:pt>
                <c:pt idx="1">
                  <c:v>7.3840000000000003</c:v>
                </c:pt>
                <c:pt idx="2">
                  <c:v>7.9770000000000003</c:v>
                </c:pt>
                <c:pt idx="3">
                  <c:v>7.6820000000000004</c:v>
                </c:pt>
                <c:pt idx="4">
                  <c:v>8.1579999999999995</c:v>
                </c:pt>
                <c:pt idx="5">
                  <c:v>7.4640000000000004</c:v>
                </c:pt>
                <c:pt idx="6">
                  <c:v>8.1649999999999991</c:v>
                </c:pt>
                <c:pt idx="7">
                  <c:v>7.5640000000000001</c:v>
                </c:pt>
                <c:pt idx="8">
                  <c:v>8.2579999999999991</c:v>
                </c:pt>
                <c:pt idx="9">
                  <c:v>7.7539999999999996</c:v>
                </c:pt>
                <c:pt idx="10">
                  <c:v>7.8291000000000013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BA-46FE-93E5-3FA7CFC3A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665344"/>
        <c:axId val="1622684544"/>
      </c:lineChart>
      <c:catAx>
        <c:axId val="162266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684544"/>
        <c:crosses val="autoZero"/>
        <c:auto val="1"/>
        <c:lblAlgn val="ctr"/>
        <c:lblOffset val="100"/>
        <c:noMultiLvlLbl val="0"/>
      </c:catAx>
      <c:valAx>
        <c:axId val="162268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66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properties!$A$8</c:f>
              <c:strCache>
                <c:ptCount val="1"/>
                <c:pt idx="0">
                  <c:v>Cypher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properties!$B$8:$K$8</c:f>
              <c:numCache>
                <c:formatCode>General</c:formatCode>
                <c:ptCount val="10"/>
                <c:pt idx="0">
                  <c:v>0.184</c:v>
                </c:pt>
                <c:pt idx="1">
                  <c:v>0.182</c:v>
                </c:pt>
                <c:pt idx="2">
                  <c:v>0.17799999999999999</c:v>
                </c:pt>
                <c:pt idx="3">
                  <c:v>0.19400000000000001</c:v>
                </c:pt>
                <c:pt idx="4">
                  <c:v>0.184</c:v>
                </c:pt>
                <c:pt idx="5">
                  <c:v>0.184</c:v>
                </c:pt>
                <c:pt idx="6">
                  <c:v>0.16700000000000001</c:v>
                </c:pt>
                <c:pt idx="7">
                  <c:v>0.23</c:v>
                </c:pt>
                <c:pt idx="8">
                  <c:v>0.20200000000000001</c:v>
                </c:pt>
                <c:pt idx="9">
                  <c:v>0.193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1D-4F44-A44C-CB2BA58B939D}"/>
            </c:ext>
          </c:extLst>
        </c:ser>
        <c:ser>
          <c:idx val="2"/>
          <c:order val="1"/>
          <c:tx>
            <c:strRef>
              <c:f>properties!$A$9</c:f>
              <c:strCache>
                <c:ptCount val="1"/>
                <c:pt idx="0">
                  <c:v>AQL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properties!$B$9:$K$9</c:f>
              <c:numCache>
                <c:formatCode>General</c:formatCode>
                <c:ptCount val="10"/>
                <c:pt idx="0">
                  <c:v>0.27900000000000003</c:v>
                </c:pt>
                <c:pt idx="1">
                  <c:v>0.28100000000000003</c:v>
                </c:pt>
                <c:pt idx="2">
                  <c:v>0.27700000000000002</c:v>
                </c:pt>
                <c:pt idx="3">
                  <c:v>0.311</c:v>
                </c:pt>
                <c:pt idx="4">
                  <c:v>0.27700000000000002</c:v>
                </c:pt>
                <c:pt idx="5">
                  <c:v>0.30599999999999999</c:v>
                </c:pt>
                <c:pt idx="6">
                  <c:v>0.26800000000000002</c:v>
                </c:pt>
                <c:pt idx="7">
                  <c:v>0.29099999999999998</c:v>
                </c:pt>
                <c:pt idx="8">
                  <c:v>0.30099999999999999</c:v>
                </c:pt>
                <c:pt idx="9">
                  <c:v>0.27600000000000002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1D-4F44-A44C-CB2BA58B939D}"/>
            </c:ext>
          </c:extLst>
        </c:ser>
        <c:ser>
          <c:idx val="3"/>
          <c:order val="2"/>
          <c:tx>
            <c:strRef>
              <c:f>properties!$A$10</c:f>
              <c:strCache>
                <c:ptCount val="1"/>
                <c:pt idx="0">
                  <c:v>Gremlin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properties!$B$10:$K$10</c:f>
              <c:numCache>
                <c:formatCode>General</c:formatCode>
                <c:ptCount val="10"/>
                <c:pt idx="0">
                  <c:v>3.8439999999999999</c:v>
                </c:pt>
                <c:pt idx="1">
                  <c:v>4.25</c:v>
                </c:pt>
                <c:pt idx="2">
                  <c:v>3.8140000000000001</c:v>
                </c:pt>
                <c:pt idx="3">
                  <c:v>3.8340000000000001</c:v>
                </c:pt>
                <c:pt idx="4">
                  <c:v>3.9449999999999998</c:v>
                </c:pt>
                <c:pt idx="5">
                  <c:v>3.8420000000000001</c:v>
                </c:pt>
                <c:pt idx="6">
                  <c:v>3.86</c:v>
                </c:pt>
                <c:pt idx="7">
                  <c:v>4.149</c:v>
                </c:pt>
                <c:pt idx="8">
                  <c:v>3.7509999999999999</c:v>
                </c:pt>
                <c:pt idx="9">
                  <c:v>3.992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1D-4F44-A44C-CB2BA58B939D}"/>
            </c:ext>
          </c:extLst>
        </c:ser>
        <c:ser>
          <c:idx val="4"/>
          <c:order val="3"/>
          <c:tx>
            <c:strRef>
              <c:f>properties!$A$11</c:f>
              <c:strCache>
                <c:ptCount val="1"/>
                <c:pt idx="0">
                  <c:v>SQL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properties!$B$11:$K$11</c:f>
              <c:numCache>
                <c:formatCode>General</c:formatCode>
                <c:ptCount val="10"/>
                <c:pt idx="0">
                  <c:v>3.9729999999999999</c:v>
                </c:pt>
                <c:pt idx="1">
                  <c:v>4.07</c:v>
                </c:pt>
                <c:pt idx="2">
                  <c:v>3.9079999999999999</c:v>
                </c:pt>
                <c:pt idx="3">
                  <c:v>4.2190000000000003</c:v>
                </c:pt>
                <c:pt idx="4">
                  <c:v>3.976</c:v>
                </c:pt>
                <c:pt idx="5">
                  <c:v>4.0590000000000002</c:v>
                </c:pt>
                <c:pt idx="6">
                  <c:v>3.8279999999999998</c:v>
                </c:pt>
                <c:pt idx="7">
                  <c:v>4.048</c:v>
                </c:pt>
                <c:pt idx="8">
                  <c:v>3.9860000000000002</c:v>
                </c:pt>
                <c:pt idx="9">
                  <c:v>4.1269999999999998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1D-4F44-A44C-CB2BA58B9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664384"/>
        <c:axId val="1622674464"/>
      </c:lineChart>
      <c:catAx>
        <c:axId val="1622664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674464"/>
        <c:crosses val="autoZero"/>
        <c:auto val="1"/>
        <c:lblAlgn val="ctr"/>
        <c:lblOffset val="100"/>
        <c:noMultiLvlLbl val="0"/>
      </c:catAx>
      <c:valAx>
        <c:axId val="162267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66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'insert-delete'!$B$1</c:f>
              <c:strCache>
                <c:ptCount val="1"/>
                <c:pt idx="0">
                  <c:v>Neo4j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'insert-delete'!$A$2:$A$5</c:f>
              <c:strCache>
                <c:ptCount val="4"/>
                <c:pt idx="0">
                  <c:v>insert V</c:v>
                </c:pt>
                <c:pt idx="1">
                  <c:v>insert E</c:v>
                </c:pt>
                <c:pt idx="2">
                  <c:v>delete V</c:v>
                </c:pt>
                <c:pt idx="3">
                  <c:v>delete E</c:v>
                </c:pt>
              </c:strCache>
            </c:strRef>
          </c:cat>
          <c:val>
            <c:numRef>
              <c:f>'insert-delete'!$B$2:$B$5</c:f>
              <c:numCache>
                <c:formatCode>General</c:formatCode>
                <c:ptCount val="4"/>
                <c:pt idx="0">
                  <c:v>26.324399999999997</c:v>
                </c:pt>
                <c:pt idx="1">
                  <c:v>133.3544</c:v>
                </c:pt>
                <c:pt idx="2">
                  <c:v>13.138799999999998</c:v>
                </c:pt>
                <c:pt idx="3">
                  <c:v>88.202000000000012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1-4863-97FD-366D8DA4A1E2}"/>
            </c:ext>
          </c:extLst>
        </c:ser>
        <c:ser>
          <c:idx val="1"/>
          <c:order val="1"/>
          <c:tx>
            <c:strRef>
              <c:f>'insert-delete'!$C$1</c:f>
              <c:strCache>
                <c:ptCount val="1"/>
                <c:pt idx="0">
                  <c:v>ArangoDB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'insert-delete'!$A$2:$A$5</c:f>
              <c:strCache>
                <c:ptCount val="4"/>
                <c:pt idx="0">
                  <c:v>insert V</c:v>
                </c:pt>
                <c:pt idx="1">
                  <c:v>insert E</c:v>
                </c:pt>
                <c:pt idx="2">
                  <c:v>delete V</c:v>
                </c:pt>
                <c:pt idx="3">
                  <c:v>delete E</c:v>
                </c:pt>
              </c:strCache>
            </c:strRef>
          </c:cat>
          <c:val>
            <c:numRef>
              <c:f>'insert-delete'!$C$2:$C$5</c:f>
              <c:numCache>
                <c:formatCode>General</c:formatCode>
                <c:ptCount val="4"/>
                <c:pt idx="0">
                  <c:v>26.611700000000003</c:v>
                </c:pt>
                <c:pt idx="1">
                  <c:v>50.8934</c:v>
                </c:pt>
                <c:pt idx="2">
                  <c:v>35.071199999999997</c:v>
                </c:pt>
                <c:pt idx="3">
                  <c:v>167.40899999999996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41-4863-97FD-366D8DA4A1E2}"/>
            </c:ext>
          </c:extLst>
        </c:ser>
        <c:ser>
          <c:idx val="2"/>
          <c:order val="2"/>
          <c:tx>
            <c:strRef>
              <c:f>'insert-delete'!$D$1</c:f>
              <c:strCache>
                <c:ptCount val="1"/>
                <c:pt idx="0">
                  <c:v>OrientDB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'insert-delete'!$A$2:$A$5</c:f>
              <c:strCache>
                <c:ptCount val="4"/>
                <c:pt idx="0">
                  <c:v>insert V</c:v>
                </c:pt>
                <c:pt idx="1">
                  <c:v>insert E</c:v>
                </c:pt>
                <c:pt idx="2">
                  <c:v>delete V</c:v>
                </c:pt>
                <c:pt idx="3">
                  <c:v>delete E</c:v>
                </c:pt>
              </c:strCache>
            </c:strRef>
          </c:cat>
          <c:val>
            <c:numRef>
              <c:f>'insert-delete'!$D$2:$D$5</c:f>
              <c:numCache>
                <c:formatCode>General</c:formatCode>
                <c:ptCount val="4"/>
                <c:pt idx="0">
                  <c:v>110.23260000000001</c:v>
                </c:pt>
                <c:pt idx="1">
                  <c:v>731.18219999999997</c:v>
                </c:pt>
                <c:pt idx="2">
                  <c:v>108.37280000000001</c:v>
                </c:pt>
                <c:pt idx="3">
                  <c:v>614.11620000000005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41-4863-97FD-366D8DA4A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0364575"/>
        <c:axId val="1470354975"/>
      </c:barChart>
      <c:catAx>
        <c:axId val="1470364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354975"/>
        <c:crosses val="autoZero"/>
        <c:auto val="1"/>
        <c:lblAlgn val="ctr"/>
        <c:lblOffset val="100"/>
        <c:noMultiLvlLbl val="0"/>
      </c:catAx>
      <c:valAx>
        <c:axId val="147035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36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0</xdr:rowOff>
    </xdr:from>
    <xdr:to>
      <xdr:col>21</xdr:col>
      <xdr:colOff>314325</xdr:colOff>
      <xdr:row>12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FCDC96-0381-AB8B-AACD-B8731C59B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585787</xdr:colOff>
      <xdr:row>13</xdr:row>
      <xdr:rowOff>14287</xdr:rowOff>
    </xdr:from>
    <xdr:to>
      <xdr:col>21</xdr:col>
      <xdr:colOff>280987</xdr:colOff>
      <xdr:row>29</xdr:row>
      <xdr:rowOff>113287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AFDBAD-D542-941A-D454-45482BCE7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4762</xdr:colOff>
      <xdr:row>0</xdr:row>
      <xdr:rowOff>0</xdr:rowOff>
    </xdr:from>
    <xdr:to>
      <xdr:col>29</xdr:col>
      <xdr:colOff>309562</xdr:colOff>
      <xdr:row>11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572F1B-0DB2-81AB-8B42-50F5481B6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38100</xdr:colOff>
      <xdr:row>29</xdr:row>
      <xdr:rowOff>185737</xdr:rowOff>
    </xdr:from>
    <xdr:to>
      <xdr:col>29</xdr:col>
      <xdr:colOff>342900</xdr:colOff>
      <xdr:row>47</xdr:row>
      <xdr:rowOff>75187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43BEA24-3F84-0F0E-5AAC-AF3040BCA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19050</xdr:colOff>
      <xdr:row>13</xdr:row>
      <xdr:rowOff>33337</xdr:rowOff>
    </xdr:from>
    <xdr:to>
      <xdr:col>29</xdr:col>
      <xdr:colOff>323850</xdr:colOff>
      <xdr:row>28</xdr:row>
      <xdr:rowOff>157837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6584D7C-678A-9076-CBC1-5FBB1DAE3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590550</xdr:colOff>
      <xdr:row>30</xdr:row>
      <xdr:rowOff>185737</xdr:rowOff>
    </xdr:from>
    <xdr:to>
      <xdr:col>21</xdr:col>
      <xdr:colOff>285750</xdr:colOff>
      <xdr:row>47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B75F71-79AC-75C9-3BAD-41057740C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514350</xdr:colOff>
      <xdr:row>5</xdr:row>
      <xdr:rowOff>157162</xdr:rowOff>
    </xdr:from>
    <xdr:to>
      <xdr:col>23</xdr:col>
      <xdr:colOff>209550</xdr:colOff>
      <xdr:row>20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AD0DF0-28B1-E83D-1505-C6BE1B3CC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514350</xdr:colOff>
      <xdr:row>20</xdr:row>
      <xdr:rowOff>176212</xdr:rowOff>
    </xdr:from>
    <xdr:to>
      <xdr:col>23</xdr:col>
      <xdr:colOff>209550</xdr:colOff>
      <xdr:row>35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57ED0E-5831-22E2-C91A-204358625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466725</xdr:colOff>
      <xdr:row>6</xdr:row>
      <xdr:rowOff>109537</xdr:rowOff>
    </xdr:from>
    <xdr:to>
      <xdr:col>20</xdr:col>
      <xdr:colOff>161925</xdr:colOff>
      <xdr:row>20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EDD755-E38C-F387-96C1-019CEFFD1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4442-7EDD-4B7F-9E93-0359649CCCF5}">
  <dimension ref="A1:AG55"/>
  <sheetViews>
    <sheetView tabSelected="1" workbookViewId="0">
      <selection activeCell="N27" sqref="N27"/>
    </sheetView>
  </sheetViews>
  <sheetFormatPr defaultRowHeight="15" x14ac:dyDescent="0.25"/>
  <cols>
    <col min="1" max="1" width="16.7109375" customWidth="1"/>
  </cols>
  <sheetData>
    <row r="1" spans="1:33" x14ac:dyDescent="0.25">
      <c r="A1" s="3" t="s">
        <v>6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 t="s">
        <v>7</v>
      </c>
      <c r="M1" s="3" t="s">
        <v>16</v>
      </c>
      <c r="N1" s="12">
        <v>0</v>
      </c>
    </row>
    <row r="2" spans="1:33" x14ac:dyDescent="0.25">
      <c r="A2" s="3" t="s">
        <v>3</v>
      </c>
      <c r="B2" s="1">
        <v>5.0000000000000001E-3</v>
      </c>
      <c r="C2" s="1">
        <v>6.0000000000000001E-3</v>
      </c>
      <c r="D2" s="1">
        <v>6.0000000000000001E-3</v>
      </c>
      <c r="E2" s="1">
        <v>0.03</v>
      </c>
      <c r="F2" s="1">
        <v>7.0000000000000001E-3</v>
      </c>
      <c r="G2" s="1">
        <v>6.0000000000000001E-3</v>
      </c>
      <c r="H2" s="1">
        <v>8.0000000000000002E-3</v>
      </c>
      <c r="I2" s="2">
        <v>6.0000000000000001E-3</v>
      </c>
      <c r="J2" s="2">
        <v>6.0000000000000001E-3</v>
      </c>
      <c r="K2" s="2">
        <v>6.0000000000000001E-3</v>
      </c>
      <c r="L2" s="1">
        <f t="shared" ref="L2:L7" si="0">AVERAGE(B2:K2)</f>
        <v>8.6000000000000017E-3</v>
      </c>
      <c r="M2" s="2">
        <v>7176</v>
      </c>
    </row>
    <row r="3" spans="1:33" x14ac:dyDescent="0.25">
      <c r="A3" s="3" t="s">
        <v>4</v>
      </c>
      <c r="B3" s="1">
        <v>6.5000000000000002E-2</v>
      </c>
      <c r="C3" s="1">
        <v>5.8999999999999997E-2</v>
      </c>
      <c r="D3" s="1">
        <v>7.4999999999999997E-2</v>
      </c>
      <c r="E3" s="1">
        <v>7.6999999999999999E-2</v>
      </c>
      <c r="F3" s="1">
        <v>5.6000000000000001E-2</v>
      </c>
      <c r="G3" s="1">
        <v>7.0999999999999994E-2</v>
      </c>
      <c r="H3" s="1">
        <v>5.3999999999999999E-2</v>
      </c>
      <c r="I3" s="1">
        <v>6.9000000000000006E-2</v>
      </c>
      <c r="J3" s="1">
        <v>0.06</v>
      </c>
      <c r="K3" s="1">
        <v>7.2999999999999995E-2</v>
      </c>
      <c r="L3" s="1">
        <f t="shared" si="0"/>
        <v>6.59E-2</v>
      </c>
      <c r="M3" s="1">
        <v>7176</v>
      </c>
      <c r="N3" s="11">
        <v>3.2480000000000002</v>
      </c>
      <c r="AG3" t="s">
        <v>35</v>
      </c>
    </row>
    <row r="4" spans="1:33" x14ac:dyDescent="0.25">
      <c r="A4" s="3" t="s">
        <v>5</v>
      </c>
      <c r="B4" s="1">
        <v>2.7E-2</v>
      </c>
      <c r="C4" s="1">
        <v>0.02</v>
      </c>
      <c r="D4" s="1">
        <v>3.1E-2</v>
      </c>
      <c r="E4" s="1">
        <v>2.1000000000000001E-2</v>
      </c>
      <c r="F4" s="1">
        <v>2.1000000000000001E-2</v>
      </c>
      <c r="G4" s="1">
        <v>3.2000000000000001E-2</v>
      </c>
      <c r="H4" s="1">
        <v>2.7E-2</v>
      </c>
      <c r="I4" s="1">
        <v>2.1000000000000001E-2</v>
      </c>
      <c r="J4" s="1">
        <v>2.1000000000000001E-2</v>
      </c>
      <c r="K4" s="1">
        <v>2.1000000000000001E-2</v>
      </c>
      <c r="L4" s="1">
        <f t="shared" si="0"/>
        <v>2.4199999999999999E-2</v>
      </c>
      <c r="M4" s="1">
        <v>7176</v>
      </c>
    </row>
    <row r="5" spans="1:33" x14ac:dyDescent="0.25">
      <c r="A5" s="3" t="s">
        <v>32</v>
      </c>
      <c r="B5" s="1">
        <v>0.02</v>
      </c>
      <c r="C5" s="1">
        <v>1.9E-2</v>
      </c>
      <c r="D5" s="1">
        <v>1.9E-2</v>
      </c>
      <c r="E5" s="1">
        <v>0.02</v>
      </c>
      <c r="F5" s="1">
        <v>0.03</v>
      </c>
      <c r="G5" s="1">
        <v>1.9E-2</v>
      </c>
      <c r="H5" s="1">
        <v>1.9E-2</v>
      </c>
      <c r="I5" s="1">
        <v>2.1000000000000001E-2</v>
      </c>
      <c r="J5" s="1">
        <v>2.3E-2</v>
      </c>
      <c r="K5" s="1">
        <v>1.9E-2</v>
      </c>
      <c r="L5" s="1">
        <f>AVERAGE(B5:K5)</f>
        <v>2.0899999999999995E-2</v>
      </c>
      <c r="M5" s="1">
        <v>7176</v>
      </c>
    </row>
    <row r="6" spans="1:33" x14ac:dyDescent="0.25">
      <c r="A6" s="3" t="s">
        <v>33</v>
      </c>
      <c r="B6" s="1">
        <v>0.16</v>
      </c>
      <c r="C6" s="1">
        <v>0.182</v>
      </c>
      <c r="D6" s="1">
        <v>0.17399999999999999</v>
      </c>
      <c r="E6" s="1">
        <v>0.19600000000000001</v>
      </c>
      <c r="F6" s="1">
        <v>0.19</v>
      </c>
      <c r="G6" s="1">
        <v>0.18</v>
      </c>
      <c r="H6" s="1">
        <v>0.191</v>
      </c>
      <c r="I6" s="1">
        <v>0.16400000000000001</v>
      </c>
      <c r="J6" s="1">
        <v>0.19700000000000001</v>
      </c>
      <c r="K6" s="1">
        <v>0.18</v>
      </c>
      <c r="L6" s="1">
        <f t="shared" si="0"/>
        <v>0.18139999999999998</v>
      </c>
      <c r="M6" s="1">
        <v>7176</v>
      </c>
    </row>
    <row r="7" spans="1:33" x14ac:dyDescent="0.25">
      <c r="A7" s="3" t="s">
        <v>34</v>
      </c>
      <c r="B7" s="1">
        <v>0.16300000000000001</v>
      </c>
      <c r="C7" s="1">
        <v>0.188</v>
      </c>
      <c r="D7" s="1">
        <v>0.16800000000000001</v>
      </c>
      <c r="E7" s="1">
        <v>0.16700000000000001</v>
      </c>
      <c r="F7" s="1">
        <v>0.161</v>
      </c>
      <c r="G7" s="1">
        <v>0.14899999999999999</v>
      </c>
      <c r="H7" s="1">
        <v>0.14799999999999999</v>
      </c>
      <c r="I7" s="1">
        <v>0.14399999999999999</v>
      </c>
      <c r="J7" s="1">
        <v>0.14599999999999999</v>
      </c>
      <c r="K7" s="1">
        <v>0.14399999999999999</v>
      </c>
      <c r="L7" s="1">
        <f t="shared" si="0"/>
        <v>0.1578</v>
      </c>
      <c r="M7" s="1">
        <v>7176</v>
      </c>
    </row>
    <row r="9" spans="1:33" x14ac:dyDescent="0.25">
      <c r="A9" s="3" t="s">
        <v>9</v>
      </c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 t="s">
        <v>7</v>
      </c>
      <c r="M9" s="3" t="s">
        <v>16</v>
      </c>
      <c r="N9" s="12">
        <v>0</v>
      </c>
    </row>
    <row r="10" spans="1:33" x14ac:dyDescent="0.25">
      <c r="A10" s="3" t="s">
        <v>3</v>
      </c>
      <c r="B10" s="1">
        <v>0.28799999999999998</v>
      </c>
      <c r="C10" s="2">
        <v>0.247</v>
      </c>
      <c r="D10" s="2">
        <v>0.24399999999999999</v>
      </c>
      <c r="E10" s="2">
        <v>0.20599999999999999</v>
      </c>
      <c r="F10" s="2">
        <v>0.23100000000000001</v>
      </c>
      <c r="G10" s="1">
        <v>0.26</v>
      </c>
      <c r="H10" s="1">
        <v>0.32700000000000001</v>
      </c>
      <c r="I10" s="1">
        <v>0.24199999999999999</v>
      </c>
      <c r="J10" s="1">
        <v>0.23200000000000001</v>
      </c>
      <c r="K10" s="1">
        <v>0.23300000000000001</v>
      </c>
      <c r="L10" s="1">
        <f t="shared" ref="L10:L15" si="1">AVERAGE(B10:K10)</f>
        <v>0.251</v>
      </c>
      <c r="M10" s="1">
        <v>240949</v>
      </c>
    </row>
    <row r="11" spans="1:33" x14ac:dyDescent="0.25">
      <c r="A11" s="3" t="s">
        <v>4</v>
      </c>
      <c r="B11" s="1">
        <v>2.1669999999999998</v>
      </c>
      <c r="C11" s="1">
        <v>2.0369999999999999</v>
      </c>
      <c r="D11" s="1">
        <v>2.1309999999999998</v>
      </c>
      <c r="E11" s="1">
        <v>2.1539999999999999</v>
      </c>
      <c r="F11" s="1">
        <v>2.1749999999999998</v>
      </c>
      <c r="G11" s="1">
        <v>2.1720000000000002</v>
      </c>
      <c r="H11" s="1">
        <v>2.4609999999999999</v>
      </c>
      <c r="I11" s="1">
        <v>2.1</v>
      </c>
      <c r="J11" s="1">
        <v>2.1549999999999998</v>
      </c>
      <c r="K11" s="1">
        <v>2.169</v>
      </c>
      <c r="L11" s="1">
        <f t="shared" si="1"/>
        <v>2.1720999999999999</v>
      </c>
      <c r="M11" s="1">
        <v>240949</v>
      </c>
      <c r="N11" s="11">
        <v>7.1779999999999999</v>
      </c>
    </row>
    <row r="12" spans="1:33" x14ac:dyDescent="0.25">
      <c r="A12" s="3" t="s">
        <v>5</v>
      </c>
      <c r="B12" s="1">
        <v>3.1379999999999999</v>
      </c>
      <c r="C12" s="1">
        <v>2.8980000000000001</v>
      </c>
      <c r="D12" s="1">
        <v>3.0550000000000002</v>
      </c>
      <c r="E12" s="1">
        <v>2.7280000000000002</v>
      </c>
      <c r="F12" s="1">
        <v>5.3250000000000002</v>
      </c>
      <c r="G12" s="1">
        <v>3.22</v>
      </c>
      <c r="H12" s="1">
        <v>3.9620000000000002</v>
      </c>
      <c r="I12" s="1">
        <v>3.7509999999999999</v>
      </c>
      <c r="J12" s="1">
        <v>3.9319999999999999</v>
      </c>
      <c r="K12" s="1">
        <v>3.8039999999999998</v>
      </c>
      <c r="L12" s="1">
        <f t="shared" si="1"/>
        <v>3.5813000000000001</v>
      </c>
      <c r="M12" s="1">
        <v>240949</v>
      </c>
    </row>
    <row r="13" spans="1:33" x14ac:dyDescent="0.25">
      <c r="A13" s="3" t="s">
        <v>32</v>
      </c>
      <c r="B13" s="1">
        <v>1.5269999999999999</v>
      </c>
      <c r="C13" s="1">
        <v>1.4890000000000001</v>
      </c>
      <c r="D13" s="1">
        <v>1.55</v>
      </c>
      <c r="E13" s="1">
        <v>1.498</v>
      </c>
      <c r="F13" s="1">
        <v>1.486</v>
      </c>
      <c r="G13" s="1">
        <v>1.4730000000000001</v>
      </c>
      <c r="H13" s="1">
        <v>1.494</v>
      </c>
      <c r="I13" s="1">
        <v>1.4677</v>
      </c>
      <c r="J13" s="1">
        <v>1.466</v>
      </c>
      <c r="K13" s="1">
        <v>1.522</v>
      </c>
      <c r="L13" s="1">
        <f>AVERAGE(B13:K13)</f>
        <v>1.4972699999999999</v>
      </c>
      <c r="M13" s="1">
        <v>240949</v>
      </c>
    </row>
    <row r="14" spans="1:33" x14ac:dyDescent="0.25">
      <c r="A14" s="3" t="s">
        <v>33</v>
      </c>
      <c r="B14" s="1">
        <v>6.2539999999999996</v>
      </c>
      <c r="C14" s="1">
        <v>7.0019999999999998</v>
      </c>
      <c r="D14" s="1">
        <v>6.9569999999999999</v>
      </c>
      <c r="E14" s="1">
        <v>7.048</v>
      </c>
      <c r="F14" s="1">
        <v>6.8529999999999998</v>
      </c>
      <c r="G14" s="1">
        <v>7.1289999999999996</v>
      </c>
      <c r="H14" s="1">
        <v>6.702</v>
      </c>
      <c r="I14" s="1">
        <v>6.4059999999999997</v>
      </c>
      <c r="J14" s="1">
        <v>6.6239999999999997</v>
      </c>
      <c r="K14" s="1">
        <v>6.4660000000000002</v>
      </c>
      <c r="L14" s="1">
        <f t="shared" si="1"/>
        <v>6.7441000000000004</v>
      </c>
      <c r="M14" s="1">
        <v>240949</v>
      </c>
    </row>
    <row r="15" spans="1:33" x14ac:dyDescent="0.25">
      <c r="A15" s="3" t="s">
        <v>34</v>
      </c>
      <c r="B15" s="1">
        <v>5.2220000000000004</v>
      </c>
      <c r="C15" s="1">
        <v>5.282</v>
      </c>
      <c r="D15" s="1">
        <v>4.9509999999999996</v>
      </c>
      <c r="E15" s="1">
        <v>5.6070000000000002</v>
      </c>
      <c r="F15" s="1">
        <v>5.2949999999999999</v>
      </c>
      <c r="G15" s="1">
        <v>5.29</v>
      </c>
      <c r="H15" s="1">
        <v>5.343</v>
      </c>
      <c r="I15" s="1">
        <v>5.3019999999999996</v>
      </c>
      <c r="J15" s="1">
        <v>5.2990000000000004</v>
      </c>
      <c r="K15" s="1">
        <v>5.4580000000000002</v>
      </c>
      <c r="L15" s="1">
        <f t="shared" si="1"/>
        <v>5.3048999999999991</v>
      </c>
      <c r="M15" s="1">
        <v>240949</v>
      </c>
    </row>
    <row r="17" spans="1:14" x14ac:dyDescent="0.25">
      <c r="A17" s="3" t="s">
        <v>10</v>
      </c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3">
        <v>6</v>
      </c>
      <c r="H17" s="3">
        <v>7</v>
      </c>
      <c r="I17" s="3">
        <v>8</v>
      </c>
      <c r="J17" s="3">
        <v>9</v>
      </c>
      <c r="K17" s="3">
        <v>10</v>
      </c>
      <c r="L17" s="3" t="s">
        <v>7</v>
      </c>
      <c r="M17" s="3" t="s">
        <v>16</v>
      </c>
    </row>
    <row r="18" spans="1:14" x14ac:dyDescent="0.25">
      <c r="A18" s="3" t="s">
        <v>3</v>
      </c>
      <c r="B18" s="1">
        <v>1.635</v>
      </c>
      <c r="C18" s="1">
        <v>1.5609999999999999</v>
      </c>
      <c r="D18" s="1">
        <v>1.593</v>
      </c>
      <c r="E18" s="1">
        <v>1.5249999999999999</v>
      </c>
      <c r="F18" s="1">
        <v>1.484</v>
      </c>
      <c r="G18" s="1">
        <v>1.4910000000000001</v>
      </c>
      <c r="H18" s="1">
        <v>1.4350000000000001</v>
      </c>
      <c r="I18" s="1">
        <v>1.6739999999999999</v>
      </c>
      <c r="J18" s="1">
        <v>1.552</v>
      </c>
      <c r="K18" s="1">
        <v>1.57</v>
      </c>
      <c r="L18" s="1">
        <f t="shared" ref="L18:L23" si="2">AVERAGE(B18:K18)</f>
        <v>1.552</v>
      </c>
      <c r="M18" s="1">
        <v>814122</v>
      </c>
    </row>
    <row r="19" spans="1:14" x14ac:dyDescent="0.25">
      <c r="A19" s="3" t="s">
        <v>4</v>
      </c>
      <c r="B19" s="1">
        <v>8.9309999999999992</v>
      </c>
      <c r="C19" s="1">
        <v>8.9280000000000008</v>
      </c>
      <c r="D19" s="1">
        <v>8.9</v>
      </c>
      <c r="E19" s="1">
        <v>9.2409999999999997</v>
      </c>
      <c r="F19" s="1">
        <v>8.8729999999999993</v>
      </c>
      <c r="G19" s="1">
        <v>9.0340000000000007</v>
      </c>
      <c r="H19" s="1">
        <v>9.0060000000000002</v>
      </c>
      <c r="I19" s="1">
        <v>8.9719999999999995</v>
      </c>
      <c r="J19" s="1">
        <v>8.9949999999999992</v>
      </c>
      <c r="K19" s="1">
        <v>8.9600000000000009</v>
      </c>
      <c r="L19" s="1">
        <f t="shared" si="2"/>
        <v>8.984</v>
      </c>
      <c r="M19" s="1">
        <v>814122</v>
      </c>
      <c r="N19" s="11">
        <v>22.486000000000001</v>
      </c>
    </row>
    <row r="20" spans="1:14" x14ac:dyDescent="0.25">
      <c r="A20" s="3" t="s">
        <v>5</v>
      </c>
      <c r="B20" s="1">
        <v>33.542000000000002</v>
      </c>
      <c r="C20" s="1">
        <v>34.146999999999998</v>
      </c>
      <c r="D20" s="1">
        <v>34.21</v>
      </c>
      <c r="E20" s="1">
        <v>33.317999999999998</v>
      </c>
      <c r="F20" s="1">
        <v>35.713000000000001</v>
      </c>
      <c r="G20" s="1">
        <v>36.479999999999997</v>
      </c>
      <c r="H20" s="1">
        <v>33.959000000000003</v>
      </c>
      <c r="I20" s="1">
        <v>33.459000000000003</v>
      </c>
      <c r="J20" s="1">
        <v>34.555</v>
      </c>
      <c r="K20" s="1">
        <v>34.398000000000003</v>
      </c>
      <c r="L20" s="1">
        <f t="shared" si="2"/>
        <v>34.378100000000003</v>
      </c>
      <c r="M20" s="1">
        <v>814122</v>
      </c>
    </row>
    <row r="21" spans="1:14" x14ac:dyDescent="0.25">
      <c r="A21" s="3" t="s">
        <v>32</v>
      </c>
      <c r="B21" s="1">
        <v>11.917</v>
      </c>
      <c r="C21" s="1">
        <v>11.808</v>
      </c>
      <c r="D21" s="1">
        <v>14.446</v>
      </c>
      <c r="E21" s="1">
        <v>11.756</v>
      </c>
      <c r="F21" s="1">
        <v>11.567</v>
      </c>
      <c r="G21" s="1">
        <v>11.455</v>
      </c>
      <c r="H21" s="1">
        <v>14.759</v>
      </c>
      <c r="I21" s="1">
        <v>11.553000000000001</v>
      </c>
      <c r="J21" s="1">
        <v>12.914</v>
      </c>
      <c r="K21" s="1">
        <v>11.545999999999999</v>
      </c>
      <c r="L21" s="1">
        <f>AVERAGE(B21:K21)</f>
        <v>12.3721</v>
      </c>
      <c r="M21" s="1">
        <v>814122</v>
      </c>
    </row>
    <row r="22" spans="1:14" x14ac:dyDescent="0.25">
      <c r="A22" s="3" t="s">
        <v>33</v>
      </c>
      <c r="B22" s="1">
        <v>50.683</v>
      </c>
      <c r="C22" s="1">
        <v>53.917999999999999</v>
      </c>
      <c r="D22" s="1">
        <v>51.317</v>
      </c>
      <c r="E22" s="1">
        <v>50.415999999999997</v>
      </c>
      <c r="F22" s="1">
        <v>50.917999999999999</v>
      </c>
      <c r="G22" s="1">
        <v>50.692999999999998</v>
      </c>
      <c r="H22" s="1">
        <v>50.76</v>
      </c>
      <c r="I22" s="1">
        <v>50.936</v>
      </c>
      <c r="J22" s="1">
        <v>50.365000000000002</v>
      </c>
      <c r="K22" s="1">
        <v>52.921999999999997</v>
      </c>
      <c r="L22" s="1">
        <f t="shared" si="2"/>
        <v>51.2928</v>
      </c>
      <c r="M22" s="1">
        <v>814122</v>
      </c>
    </row>
    <row r="23" spans="1:14" x14ac:dyDescent="0.25">
      <c r="A23" s="3" t="s">
        <v>34</v>
      </c>
      <c r="B23" s="1">
        <v>36.08</v>
      </c>
      <c r="C23" s="1">
        <v>37.817</v>
      </c>
      <c r="D23" s="1">
        <v>37.625</v>
      </c>
      <c r="E23" s="1">
        <v>37.179000000000002</v>
      </c>
      <c r="F23" s="1">
        <v>38.295000000000002</v>
      </c>
      <c r="G23" s="1">
        <v>35.985999999999997</v>
      </c>
      <c r="H23" s="1">
        <v>37.012999999999998</v>
      </c>
      <c r="I23" s="1">
        <v>36.987000000000002</v>
      </c>
      <c r="J23" s="1">
        <v>37.116999999999997</v>
      </c>
      <c r="K23" s="1">
        <v>36.863</v>
      </c>
      <c r="L23" s="1">
        <f t="shared" si="2"/>
        <v>37.096199999999996</v>
      </c>
      <c r="M23" s="1">
        <v>814122</v>
      </c>
    </row>
    <row r="25" spans="1:14" x14ac:dyDescent="0.25">
      <c r="A25" s="3" t="s">
        <v>11</v>
      </c>
      <c r="B25" s="3">
        <v>1</v>
      </c>
      <c r="C25" s="3">
        <v>2</v>
      </c>
      <c r="D25" s="3">
        <v>3</v>
      </c>
      <c r="E25" s="3">
        <v>4</v>
      </c>
      <c r="F25" s="3">
        <v>5</v>
      </c>
      <c r="G25" s="3">
        <v>6</v>
      </c>
      <c r="H25" s="3">
        <v>7</v>
      </c>
      <c r="I25" s="3">
        <v>8</v>
      </c>
      <c r="J25" s="3">
        <v>9</v>
      </c>
      <c r="K25" s="3">
        <v>10</v>
      </c>
      <c r="L25" s="3" t="s">
        <v>7</v>
      </c>
      <c r="M25" s="3" t="s">
        <v>16</v>
      </c>
    </row>
    <row r="26" spans="1:14" x14ac:dyDescent="0.25">
      <c r="A26" s="3" t="s">
        <v>3</v>
      </c>
      <c r="B26" s="1">
        <v>2.306</v>
      </c>
      <c r="C26" s="1">
        <v>2.6320000000000001</v>
      </c>
      <c r="D26" s="1">
        <v>2.2829999999999999</v>
      </c>
      <c r="E26" s="1">
        <v>2.4329999999999998</v>
      </c>
      <c r="F26" s="1">
        <v>2.3530000000000002</v>
      </c>
      <c r="G26" s="1">
        <v>2.3959999999999999</v>
      </c>
      <c r="H26" s="1">
        <v>2.2490000000000001</v>
      </c>
      <c r="I26" s="1">
        <v>2.5659999999999998</v>
      </c>
      <c r="J26" s="1">
        <v>2.5529999999999999</v>
      </c>
      <c r="K26" s="1">
        <v>2.4449999999999998</v>
      </c>
      <c r="L26" s="1">
        <f t="shared" ref="L26:L31" si="3">AVERAGE(B26:K26)</f>
        <v>2.4215999999999998</v>
      </c>
      <c r="M26" s="1">
        <v>1051030</v>
      </c>
    </row>
    <row r="27" spans="1:14" x14ac:dyDescent="0.25">
      <c r="A27" s="3" t="s">
        <v>4</v>
      </c>
      <c r="B27" s="1">
        <v>12.84</v>
      </c>
      <c r="C27" s="1">
        <v>13.263999999999999</v>
      </c>
      <c r="D27" s="1">
        <v>12.856999999999999</v>
      </c>
      <c r="E27" s="1">
        <v>13.038</v>
      </c>
      <c r="F27" s="1">
        <v>13.116</v>
      </c>
      <c r="G27" s="1">
        <v>13.196</v>
      </c>
      <c r="H27" s="1">
        <v>13.112</v>
      </c>
      <c r="I27" s="1">
        <v>12.935</v>
      </c>
      <c r="J27" s="1">
        <v>13.16</v>
      </c>
      <c r="K27" s="1">
        <v>13.085000000000001</v>
      </c>
      <c r="L27" s="1">
        <f t="shared" si="3"/>
        <v>13.060299999999998</v>
      </c>
      <c r="M27" s="1">
        <v>1051030</v>
      </c>
      <c r="N27" s="11">
        <v>31.309000000000001</v>
      </c>
    </row>
    <row r="28" spans="1:14" x14ac:dyDescent="0.25">
      <c r="A28" s="3" t="s">
        <v>5</v>
      </c>
      <c r="B28" s="1">
        <v>84.057000000000002</v>
      </c>
      <c r="C28" s="1">
        <v>83.819000000000003</v>
      </c>
      <c r="D28" s="1">
        <v>87.9</v>
      </c>
      <c r="E28" s="1">
        <v>83.581999999999994</v>
      </c>
      <c r="F28" s="1">
        <v>79.046000000000006</v>
      </c>
      <c r="G28" s="1">
        <v>69.576999999999998</v>
      </c>
      <c r="H28" s="1">
        <v>79.350999999999999</v>
      </c>
      <c r="I28" s="1">
        <v>76.429000000000002</v>
      </c>
      <c r="J28" s="1">
        <v>77.981999999999999</v>
      </c>
      <c r="K28" s="4">
        <v>82.072999999999993</v>
      </c>
      <c r="L28" s="1">
        <f t="shared" si="3"/>
        <v>80.381599999999992</v>
      </c>
      <c r="M28" s="1">
        <v>1051030</v>
      </c>
    </row>
    <row r="29" spans="1:14" x14ac:dyDescent="0.25">
      <c r="A29" s="3" t="s">
        <v>32</v>
      </c>
      <c r="B29" s="1">
        <v>27.693000000000001</v>
      </c>
      <c r="C29" s="1">
        <v>27.507000000000001</v>
      </c>
      <c r="D29" s="1">
        <v>33.180999999999997</v>
      </c>
      <c r="E29" s="1">
        <v>32.54</v>
      </c>
      <c r="F29" s="1">
        <v>33.92</v>
      </c>
      <c r="G29" s="1">
        <v>31.702000000000002</v>
      </c>
      <c r="H29" s="1">
        <v>28.611999999999998</v>
      </c>
      <c r="I29" s="1">
        <v>28.021000000000001</v>
      </c>
      <c r="J29" s="1">
        <v>28.466000000000001</v>
      </c>
      <c r="K29" s="1">
        <v>31.314</v>
      </c>
      <c r="L29" s="1">
        <f>AVERAGE(B29:K29)</f>
        <v>30.2956</v>
      </c>
      <c r="M29" s="1">
        <v>1051030</v>
      </c>
    </row>
    <row r="30" spans="1:14" x14ac:dyDescent="0.25">
      <c r="A30" s="3" t="s">
        <v>33</v>
      </c>
      <c r="B30" s="1">
        <v>72.956999999999994</v>
      </c>
      <c r="C30" s="1">
        <v>74.742999999999995</v>
      </c>
      <c r="D30" s="1">
        <v>78.183000000000007</v>
      </c>
      <c r="E30" s="1">
        <v>73.454999999999998</v>
      </c>
      <c r="F30" s="1">
        <v>70.302999999999997</v>
      </c>
      <c r="G30" s="1">
        <v>71.822000000000003</v>
      </c>
      <c r="H30" s="1">
        <v>71.528999999999996</v>
      </c>
      <c r="I30" s="1">
        <v>72.44</v>
      </c>
      <c r="J30" s="1">
        <v>70.861999999999995</v>
      </c>
      <c r="K30" s="1">
        <v>72.620999999999995</v>
      </c>
      <c r="L30" s="1">
        <f t="shared" si="3"/>
        <v>72.891499999999994</v>
      </c>
      <c r="M30" s="1">
        <v>1051030</v>
      </c>
    </row>
    <row r="31" spans="1:14" x14ac:dyDescent="0.25">
      <c r="A31" s="3" t="s">
        <v>34</v>
      </c>
      <c r="B31" s="1">
        <v>58.65</v>
      </c>
      <c r="C31" s="1">
        <v>54.33</v>
      </c>
      <c r="D31" s="1">
        <v>53.265000000000001</v>
      </c>
      <c r="E31" s="1">
        <v>54.939</v>
      </c>
      <c r="F31" s="1">
        <v>53.460999999999999</v>
      </c>
      <c r="G31" s="1">
        <v>53.637</v>
      </c>
      <c r="H31" s="1">
        <v>52.765000000000001</v>
      </c>
      <c r="I31" s="1">
        <v>55.473999999999997</v>
      </c>
      <c r="J31" s="1">
        <v>52.253</v>
      </c>
      <c r="K31" s="1">
        <v>55.094000000000001</v>
      </c>
      <c r="L31" s="1">
        <f t="shared" si="3"/>
        <v>54.386799999999994</v>
      </c>
      <c r="M31" s="1">
        <v>1051030</v>
      </c>
    </row>
    <row r="33" spans="1:13" x14ac:dyDescent="0.25">
      <c r="A33" s="3" t="s">
        <v>21</v>
      </c>
      <c r="B33" s="3">
        <v>1</v>
      </c>
      <c r="C33" s="3">
        <v>2</v>
      </c>
      <c r="D33" s="3">
        <v>3</v>
      </c>
      <c r="E33" s="3">
        <v>4</v>
      </c>
      <c r="F33" s="3">
        <v>5</v>
      </c>
      <c r="G33" s="3">
        <v>6</v>
      </c>
      <c r="H33" s="3">
        <v>7</v>
      </c>
      <c r="I33" s="3">
        <v>8</v>
      </c>
      <c r="J33" s="3">
        <v>9</v>
      </c>
      <c r="K33" s="3">
        <v>10</v>
      </c>
      <c r="L33" s="3" t="s">
        <v>7</v>
      </c>
      <c r="M33" s="3" t="s">
        <v>16</v>
      </c>
    </row>
    <row r="34" spans="1:13" x14ac:dyDescent="0.25">
      <c r="A34" s="3" t="s">
        <v>3</v>
      </c>
      <c r="B34" s="1">
        <v>6.0000000000000001E-3</v>
      </c>
      <c r="C34" s="1">
        <v>5.0000000000000001E-3</v>
      </c>
      <c r="D34" s="1">
        <v>5.0000000000000001E-3</v>
      </c>
      <c r="E34" s="1">
        <v>7.0000000000000001E-3</v>
      </c>
      <c r="F34" s="1">
        <v>1E-3</v>
      </c>
      <c r="G34" s="1">
        <v>1E-3</v>
      </c>
      <c r="H34" s="1">
        <v>4.0000000000000001E-3</v>
      </c>
      <c r="I34" s="1">
        <v>7.0000000000000001E-3</v>
      </c>
      <c r="J34" s="1">
        <v>1.4999999999999999E-2</v>
      </c>
      <c r="K34" s="1">
        <v>2.8000000000000001E-2</v>
      </c>
      <c r="L34" s="1">
        <f t="shared" ref="L34:L39" si="4">AVERAGE(B34:K34)</f>
        <v>7.9000000000000008E-3</v>
      </c>
      <c r="M34" s="7" t="s">
        <v>31</v>
      </c>
    </row>
    <row r="35" spans="1:13" x14ac:dyDescent="0.25">
      <c r="A35" s="3" t="s">
        <v>4</v>
      </c>
      <c r="B35" s="1">
        <v>2E-3</v>
      </c>
      <c r="C35" s="1">
        <v>1E-3</v>
      </c>
      <c r="D35" s="1">
        <v>1E-3</v>
      </c>
      <c r="E35" s="1">
        <v>1E-3</v>
      </c>
      <c r="F35" s="1">
        <v>2E-3</v>
      </c>
      <c r="G35" s="1">
        <v>1E-3</v>
      </c>
      <c r="H35" s="1">
        <v>2E-3</v>
      </c>
      <c r="I35" s="1">
        <v>1E-3</v>
      </c>
      <c r="J35" s="1">
        <v>1E-3</v>
      </c>
      <c r="K35" s="1">
        <v>1E-3</v>
      </c>
      <c r="L35" s="1">
        <f t="shared" si="4"/>
        <v>1.3000000000000002E-3</v>
      </c>
      <c r="M35" s="7" t="s">
        <v>31</v>
      </c>
    </row>
    <row r="36" spans="1:13" x14ac:dyDescent="0.25">
      <c r="A36" s="3" t="s">
        <v>5</v>
      </c>
      <c r="B36" s="1">
        <v>0.217</v>
      </c>
      <c r="C36" s="1">
        <v>9.5000000000000001E-2</v>
      </c>
      <c r="D36" s="1">
        <v>0.106</v>
      </c>
      <c r="E36" s="1">
        <v>8.1000000000000003E-2</v>
      </c>
      <c r="F36" s="1">
        <v>8.6999999999999994E-2</v>
      </c>
      <c r="G36" s="1">
        <v>0.10199999999999999</v>
      </c>
      <c r="H36" s="1">
        <v>7.8E-2</v>
      </c>
      <c r="I36" s="1">
        <v>0.10199999999999999</v>
      </c>
      <c r="J36" s="1">
        <v>8.2000000000000003E-2</v>
      </c>
      <c r="K36" s="4">
        <v>0.113</v>
      </c>
      <c r="L36" s="1">
        <f t="shared" si="4"/>
        <v>0.10629999999999999</v>
      </c>
      <c r="M36" s="7" t="s">
        <v>31</v>
      </c>
    </row>
    <row r="37" spans="1:13" x14ac:dyDescent="0.25">
      <c r="A37" s="3" t="s">
        <v>32</v>
      </c>
      <c r="B37" s="1">
        <v>8.2000000000000003E-2</v>
      </c>
      <c r="C37" s="1">
        <v>8.5999999999999993E-2</v>
      </c>
      <c r="D37" s="1">
        <v>6.5000000000000002E-2</v>
      </c>
      <c r="E37" s="1">
        <v>0.16600000000000001</v>
      </c>
      <c r="F37" s="1">
        <v>0.06</v>
      </c>
      <c r="G37" s="1">
        <v>6.7000000000000004E-2</v>
      </c>
      <c r="H37" s="1">
        <v>9.7000000000000003E-2</v>
      </c>
      <c r="I37" s="1">
        <v>5.8000000000000003E-2</v>
      </c>
      <c r="J37" s="1">
        <v>5.6000000000000001E-2</v>
      </c>
      <c r="K37" s="1">
        <v>5.6000000000000001E-2</v>
      </c>
      <c r="L37" s="1">
        <f>AVERAGE(B37:K37)</f>
        <v>7.9300000000000009E-2</v>
      </c>
      <c r="M37" s="7" t="s">
        <v>31</v>
      </c>
    </row>
    <row r="38" spans="1:13" x14ac:dyDescent="0.25">
      <c r="A38" s="3" t="s">
        <v>33</v>
      </c>
      <c r="B38" s="1">
        <v>0.04</v>
      </c>
      <c r="C38" s="1">
        <v>2.1000000000000001E-2</v>
      </c>
      <c r="D38" s="1">
        <v>2.3E-2</v>
      </c>
      <c r="E38" s="1">
        <v>1.4999999999999999E-2</v>
      </c>
      <c r="F38" s="1">
        <v>1.7000000000000001E-2</v>
      </c>
      <c r="G38" s="1">
        <v>1.4999999999999999E-2</v>
      </c>
      <c r="H38" s="1">
        <v>1.2999999999999999E-2</v>
      </c>
      <c r="I38" s="1">
        <v>1.6E-2</v>
      </c>
      <c r="J38" s="1">
        <v>1.7000000000000001E-2</v>
      </c>
      <c r="K38" s="1">
        <v>0.02</v>
      </c>
      <c r="L38" s="1">
        <f t="shared" si="4"/>
        <v>1.9700000000000002E-2</v>
      </c>
      <c r="M38" s="7" t="s">
        <v>31</v>
      </c>
    </row>
    <row r="39" spans="1:13" x14ac:dyDescent="0.25">
      <c r="A39" s="3" t="s">
        <v>34</v>
      </c>
      <c r="B39" s="1">
        <v>2.5000000000000001E-2</v>
      </c>
      <c r="C39" s="1">
        <v>1.6E-2</v>
      </c>
      <c r="D39" s="1">
        <v>1.7999999999999999E-2</v>
      </c>
      <c r="E39" s="1">
        <v>2.1000000000000001E-2</v>
      </c>
      <c r="F39" s="1">
        <v>1.4E-2</v>
      </c>
      <c r="G39" s="1">
        <v>1.7000000000000001E-2</v>
      </c>
      <c r="H39" s="1">
        <v>1.7000000000000001E-2</v>
      </c>
      <c r="I39" s="1">
        <v>1.7999999999999999E-2</v>
      </c>
      <c r="J39" s="1">
        <v>2.5999999999999999E-2</v>
      </c>
      <c r="K39" s="1">
        <v>2.7E-2</v>
      </c>
      <c r="L39" s="1">
        <f t="shared" si="4"/>
        <v>1.9899999999999998E-2</v>
      </c>
      <c r="M39" s="7" t="s">
        <v>31</v>
      </c>
    </row>
    <row r="41" spans="1:13" x14ac:dyDescent="0.25">
      <c r="A41" s="3" t="s">
        <v>22</v>
      </c>
      <c r="B41" s="3">
        <v>1</v>
      </c>
      <c r="C41" s="3">
        <v>2</v>
      </c>
      <c r="D41" s="3">
        <v>3</v>
      </c>
      <c r="E41" s="3">
        <v>4</v>
      </c>
      <c r="F41" s="3">
        <v>5</v>
      </c>
      <c r="G41" s="3">
        <v>6</v>
      </c>
      <c r="H41" s="3">
        <v>7</v>
      </c>
      <c r="I41" s="3">
        <v>8</v>
      </c>
      <c r="J41" s="3">
        <v>9</v>
      </c>
      <c r="K41" s="3">
        <v>10</v>
      </c>
      <c r="L41" s="3" t="s">
        <v>7</v>
      </c>
      <c r="M41" s="3" t="s">
        <v>16</v>
      </c>
    </row>
    <row r="42" spans="1:13" x14ac:dyDescent="0.25">
      <c r="A42" s="3" t="s">
        <v>3</v>
      </c>
      <c r="B42" s="1">
        <v>4.7E-2</v>
      </c>
      <c r="C42" s="1">
        <v>1.7000000000000001E-2</v>
      </c>
      <c r="D42" s="1">
        <v>1E-3</v>
      </c>
      <c r="E42" s="1">
        <v>1.4999999999999999E-2</v>
      </c>
      <c r="F42" s="1">
        <v>1E-3</v>
      </c>
      <c r="G42" s="1">
        <v>1.6E-2</v>
      </c>
      <c r="H42" s="1">
        <v>1.7000000000000001E-2</v>
      </c>
      <c r="I42" s="1">
        <v>1.0999999999999999E-2</v>
      </c>
      <c r="J42" s="1">
        <v>3.4000000000000002E-2</v>
      </c>
      <c r="K42" s="1">
        <v>1.6E-2</v>
      </c>
      <c r="L42" s="1">
        <f>AVERAGE(B42:K42)</f>
        <v>1.7499999999999998E-2</v>
      </c>
      <c r="M42" s="1" t="s">
        <v>24</v>
      </c>
    </row>
    <row r="43" spans="1:13" ht="16.5" x14ac:dyDescent="0.3">
      <c r="A43" s="3" t="s">
        <v>4</v>
      </c>
      <c r="B43" s="1"/>
      <c r="C43" s="5"/>
      <c r="D43" s="1"/>
      <c r="E43" s="1"/>
      <c r="F43" s="1"/>
      <c r="G43" s="1"/>
      <c r="H43" s="1"/>
      <c r="I43" s="1"/>
      <c r="J43" s="1"/>
      <c r="K43" s="1"/>
      <c r="L43" s="1" t="e">
        <f>AVERAGE(B43:K43)</f>
        <v>#DIV/0!</v>
      </c>
      <c r="M43" s="1" t="s">
        <v>23</v>
      </c>
    </row>
    <row r="44" spans="1:13" x14ac:dyDescent="0.25">
      <c r="A44" s="3" t="s">
        <v>5</v>
      </c>
      <c r="B44" s="1"/>
      <c r="C44" s="1"/>
      <c r="D44" s="1"/>
      <c r="E44" s="1"/>
      <c r="F44" s="1"/>
      <c r="G44" s="1"/>
      <c r="H44" s="1"/>
      <c r="I44" s="1"/>
      <c r="J44" s="1"/>
      <c r="K44" s="4"/>
      <c r="L44" s="1" t="e">
        <f>AVERAGE(B44:K44)</f>
        <v>#DIV/0!</v>
      </c>
      <c r="M44" s="1" t="s">
        <v>23</v>
      </c>
    </row>
    <row r="45" spans="1:13" x14ac:dyDescent="0.25">
      <c r="A45" s="3" t="s">
        <v>32</v>
      </c>
      <c r="B45" s="1"/>
      <c r="C45" s="1"/>
      <c r="D45" s="1"/>
      <c r="E45" s="1"/>
      <c r="F45" s="1"/>
      <c r="G45" s="1"/>
      <c r="H45" s="1"/>
      <c r="I45" s="1"/>
      <c r="J45" s="1"/>
      <c r="K45" s="4"/>
      <c r="L45" s="1"/>
      <c r="M45" s="1"/>
    </row>
    <row r="46" spans="1:13" x14ac:dyDescent="0.25">
      <c r="A46" s="3" t="s">
        <v>33</v>
      </c>
      <c r="B46" s="1">
        <v>1.4570000000000001</v>
      </c>
      <c r="C46" s="1">
        <v>1.226</v>
      </c>
      <c r="D46" s="1">
        <v>1.25</v>
      </c>
      <c r="E46" s="1">
        <v>1.292</v>
      </c>
      <c r="F46" s="1">
        <v>1.3180000000000001</v>
      </c>
      <c r="G46" s="1">
        <v>1.3109999999999999</v>
      </c>
      <c r="H46" s="1">
        <v>1.395</v>
      </c>
      <c r="I46" s="1">
        <v>1.25</v>
      </c>
      <c r="J46" s="1">
        <v>1.343</v>
      </c>
      <c r="K46" s="1">
        <v>1.256</v>
      </c>
      <c r="L46" s="1">
        <f>AVERAGE(B46:K46)</f>
        <v>1.3097999999999999</v>
      </c>
      <c r="M46" s="1" t="s">
        <v>24</v>
      </c>
    </row>
    <row r="47" spans="1:13" x14ac:dyDescent="0.25">
      <c r="A47" s="3" t="s">
        <v>34</v>
      </c>
      <c r="B47" s="1">
        <v>0.93899999999999995</v>
      </c>
      <c r="C47" s="1">
        <v>0.82499999999999996</v>
      </c>
      <c r="D47" s="1">
        <v>0.82399999999999995</v>
      </c>
      <c r="E47" s="1">
        <v>0.84299999999999997</v>
      </c>
      <c r="F47" s="1">
        <v>0.85099999999999998</v>
      </c>
      <c r="G47" s="1">
        <v>0.82799999999999996</v>
      </c>
      <c r="H47" s="1">
        <v>0.83199999999999996</v>
      </c>
      <c r="I47" s="1">
        <v>0.79600000000000004</v>
      </c>
      <c r="J47" s="1">
        <v>0.78500000000000003</v>
      </c>
      <c r="K47" s="1">
        <v>0.78700000000000003</v>
      </c>
      <c r="L47" s="1">
        <f>AVERAGE(B47:K47)</f>
        <v>0.83100000000000007</v>
      </c>
      <c r="M47" s="1" t="s">
        <v>24</v>
      </c>
    </row>
    <row r="50" spans="1:13" x14ac:dyDescent="0.25">
      <c r="A50" t="s">
        <v>6</v>
      </c>
      <c r="B50" s="8" t="s">
        <v>17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 x14ac:dyDescent="0.25">
      <c r="A51" t="s">
        <v>9</v>
      </c>
      <c r="B51" s="8" t="s">
        <v>18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 x14ac:dyDescent="0.25">
      <c r="A52" t="s">
        <v>10</v>
      </c>
      <c r="B52" s="8" t="s">
        <v>19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1:13" x14ac:dyDescent="0.25">
      <c r="A53" t="s">
        <v>11</v>
      </c>
      <c r="B53" s="8" t="s">
        <v>20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1:13" x14ac:dyDescent="0.25">
      <c r="A54" t="s">
        <v>21</v>
      </c>
      <c r="B54" s="8" t="s">
        <v>26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 x14ac:dyDescent="0.25">
      <c r="A55" t="s">
        <v>22</v>
      </c>
      <c r="B55" s="8" t="s">
        <v>25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</sheetData>
  <mergeCells count="6">
    <mergeCell ref="B55:M55"/>
    <mergeCell ref="B50:M50"/>
    <mergeCell ref="B51:M51"/>
    <mergeCell ref="B52:M52"/>
    <mergeCell ref="B53:M53"/>
    <mergeCell ref="B54:M54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E5F04-29EC-403B-9565-E01B10A010C8}">
  <dimension ref="A1:N14"/>
  <sheetViews>
    <sheetView workbookViewId="0">
      <selection activeCell="J20" sqref="J20"/>
    </sheetView>
  </sheetViews>
  <sheetFormatPr defaultRowHeight="15" x14ac:dyDescent="0.25"/>
  <cols>
    <col min="1" max="1" width="15" customWidth="1"/>
  </cols>
  <sheetData>
    <row r="1" spans="1:14" x14ac:dyDescent="0.25">
      <c r="A1" s="3" t="s">
        <v>36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 t="s">
        <v>7</v>
      </c>
      <c r="M1" s="3" t="s">
        <v>16</v>
      </c>
      <c r="N1" s="3">
        <v>0</v>
      </c>
    </row>
    <row r="2" spans="1:14" x14ac:dyDescent="0.25">
      <c r="A2" s="3" t="s">
        <v>3</v>
      </c>
      <c r="B2" s="1">
        <v>0.182</v>
      </c>
      <c r="C2" s="1">
        <v>0.18099999999999999</v>
      </c>
      <c r="D2" s="1">
        <v>0.20100000000000001</v>
      </c>
      <c r="E2" s="1">
        <v>0.185</v>
      </c>
      <c r="F2" s="1">
        <v>0.186</v>
      </c>
      <c r="G2" s="1">
        <v>0.21099999999999999</v>
      </c>
      <c r="H2" s="1">
        <v>0.182</v>
      </c>
      <c r="I2" s="2">
        <v>0.18099999999999999</v>
      </c>
      <c r="J2" s="2">
        <v>0.19400000000000001</v>
      </c>
      <c r="K2" s="2">
        <v>0.246</v>
      </c>
      <c r="L2" s="1">
        <f t="shared" ref="L2:L5" si="0">AVERAGE(B2:K2)</f>
        <v>0.19490000000000002</v>
      </c>
      <c r="M2" s="2">
        <v>13779</v>
      </c>
      <c r="N2" s="2">
        <v>0.33700000000000002</v>
      </c>
    </row>
    <row r="3" spans="1:14" x14ac:dyDescent="0.25">
      <c r="A3" s="3" t="s">
        <v>4</v>
      </c>
      <c r="B3" s="1">
        <v>0.35099999999999998</v>
      </c>
      <c r="C3" s="1">
        <v>0.35399999999999998</v>
      </c>
      <c r="D3" s="1">
        <v>0.40600000000000003</v>
      </c>
      <c r="E3" s="1">
        <v>0.312</v>
      </c>
      <c r="F3" s="1">
        <v>0.34100000000000003</v>
      </c>
      <c r="G3" s="1">
        <v>0.34899999999999998</v>
      </c>
      <c r="H3" s="1">
        <v>0.34300000000000003</v>
      </c>
      <c r="I3" s="1">
        <v>0.32800000000000001</v>
      </c>
      <c r="J3" s="1">
        <v>0.376</v>
      </c>
      <c r="K3" s="1">
        <v>0.32800000000000001</v>
      </c>
      <c r="L3" s="1">
        <f t="shared" si="0"/>
        <v>0.34879999999999994</v>
      </c>
      <c r="M3" s="1">
        <v>13779</v>
      </c>
      <c r="N3" s="1">
        <v>0.30399999999999999</v>
      </c>
    </row>
    <row r="4" spans="1:14" x14ac:dyDescent="0.25">
      <c r="A4" s="3" t="s">
        <v>5</v>
      </c>
      <c r="B4" s="1">
        <v>3.9929999999999999</v>
      </c>
      <c r="C4" s="1">
        <v>3.7229999999999999</v>
      </c>
      <c r="D4" s="1">
        <v>3.8580000000000001</v>
      </c>
      <c r="E4" s="1">
        <v>4.0599999999999996</v>
      </c>
      <c r="F4" s="1">
        <v>3.794</v>
      </c>
      <c r="G4" s="1">
        <v>3.7120000000000002</v>
      </c>
      <c r="H4" s="1">
        <v>3.8610000000000002</v>
      </c>
      <c r="I4" s="1">
        <v>4.2270000000000003</v>
      </c>
      <c r="J4" s="1">
        <v>4.1459999999999999</v>
      </c>
      <c r="K4" s="1">
        <v>3.9449999999999998</v>
      </c>
      <c r="L4" s="1">
        <f t="shared" si="0"/>
        <v>3.9319000000000002</v>
      </c>
      <c r="M4" s="1">
        <v>13779</v>
      </c>
      <c r="N4" s="1">
        <v>4.0789999999999997</v>
      </c>
    </row>
    <row r="5" spans="1:14" x14ac:dyDescent="0.25">
      <c r="A5" s="3" t="s">
        <v>33</v>
      </c>
      <c r="B5" s="1">
        <v>7.8849999999999998</v>
      </c>
      <c r="C5" s="1">
        <v>7.3840000000000003</v>
      </c>
      <c r="D5" s="1">
        <v>7.9770000000000003</v>
      </c>
      <c r="E5" s="1">
        <v>7.6820000000000004</v>
      </c>
      <c r="F5" s="1">
        <v>8.1579999999999995</v>
      </c>
      <c r="G5" s="1">
        <v>7.4640000000000004</v>
      </c>
      <c r="H5" s="1">
        <v>8.1649999999999991</v>
      </c>
      <c r="I5" s="1">
        <v>7.5640000000000001</v>
      </c>
      <c r="J5" s="1">
        <v>8.2579999999999991</v>
      </c>
      <c r="K5" s="1">
        <v>7.7539999999999996</v>
      </c>
      <c r="L5" s="1">
        <f t="shared" si="0"/>
        <v>7.8291000000000013</v>
      </c>
      <c r="M5" s="1">
        <v>13779</v>
      </c>
      <c r="N5" s="1">
        <v>11.337999999999999</v>
      </c>
    </row>
    <row r="7" spans="1:14" x14ac:dyDescent="0.25">
      <c r="A7" s="3" t="s">
        <v>37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 t="s">
        <v>7</v>
      </c>
      <c r="M7" s="3" t="s">
        <v>16</v>
      </c>
      <c r="N7" s="3">
        <v>0</v>
      </c>
    </row>
    <row r="8" spans="1:14" x14ac:dyDescent="0.25">
      <c r="A8" s="3" t="s">
        <v>3</v>
      </c>
      <c r="B8" s="1">
        <v>0.184</v>
      </c>
      <c r="C8" s="1">
        <v>0.182</v>
      </c>
      <c r="D8" s="1">
        <v>0.17799999999999999</v>
      </c>
      <c r="E8" s="1">
        <v>0.19400000000000001</v>
      </c>
      <c r="F8" s="1">
        <v>0.184</v>
      </c>
      <c r="G8" s="1">
        <v>0.184</v>
      </c>
      <c r="H8" s="1">
        <v>0.16700000000000001</v>
      </c>
      <c r="I8" s="2">
        <v>0.23</v>
      </c>
      <c r="J8" s="2">
        <v>0.20200000000000001</v>
      </c>
      <c r="K8" s="2">
        <v>0.193</v>
      </c>
      <c r="L8" s="1">
        <f t="shared" ref="L8:L11" si="1">AVERAGE(B8:K8)</f>
        <v>0.1898</v>
      </c>
      <c r="M8" s="2">
        <v>56.573999999999998</v>
      </c>
      <c r="N8" s="2">
        <v>0.222</v>
      </c>
    </row>
    <row r="9" spans="1:14" x14ac:dyDescent="0.25">
      <c r="A9" s="3" t="s">
        <v>4</v>
      </c>
      <c r="B9" s="1">
        <v>0.27900000000000003</v>
      </c>
      <c r="C9" s="1">
        <v>0.28100000000000003</v>
      </c>
      <c r="D9" s="1">
        <v>0.27700000000000002</v>
      </c>
      <c r="E9" s="1">
        <v>0.311</v>
      </c>
      <c r="F9" s="1">
        <v>0.27700000000000002</v>
      </c>
      <c r="G9" s="1">
        <v>0.30599999999999999</v>
      </c>
      <c r="H9" s="1">
        <v>0.26800000000000002</v>
      </c>
      <c r="I9" s="1">
        <v>0.29099999999999998</v>
      </c>
      <c r="J9" s="1">
        <v>0.30099999999999999</v>
      </c>
      <c r="K9" s="1">
        <v>0.27600000000000002</v>
      </c>
      <c r="L9" s="1">
        <f t="shared" si="1"/>
        <v>0.28670000000000007</v>
      </c>
      <c r="M9" s="2">
        <v>56.573999999999998</v>
      </c>
      <c r="N9" s="1">
        <v>0.378</v>
      </c>
    </row>
    <row r="10" spans="1:14" x14ac:dyDescent="0.25">
      <c r="A10" s="3" t="s">
        <v>5</v>
      </c>
      <c r="B10" s="1">
        <v>3.8439999999999999</v>
      </c>
      <c r="C10" s="1">
        <v>4.25</v>
      </c>
      <c r="D10" s="1">
        <v>3.8140000000000001</v>
      </c>
      <c r="E10" s="1">
        <v>3.8340000000000001</v>
      </c>
      <c r="F10" s="1">
        <v>3.9449999999999998</v>
      </c>
      <c r="G10" s="1">
        <v>3.8420000000000001</v>
      </c>
      <c r="H10" s="1">
        <v>3.86</v>
      </c>
      <c r="I10" s="1">
        <v>4.149</v>
      </c>
      <c r="J10" s="1">
        <v>3.7509999999999999</v>
      </c>
      <c r="K10" s="1">
        <v>3.992</v>
      </c>
      <c r="L10" s="1">
        <f t="shared" si="1"/>
        <v>3.9280999999999993</v>
      </c>
      <c r="M10" s="2">
        <v>56.573999999999998</v>
      </c>
      <c r="N10" s="1">
        <v>4.0110000000000001</v>
      </c>
    </row>
    <row r="11" spans="1:14" x14ac:dyDescent="0.25">
      <c r="A11" s="3" t="s">
        <v>33</v>
      </c>
      <c r="B11" s="1">
        <v>3.9729999999999999</v>
      </c>
      <c r="C11" s="1">
        <v>4.07</v>
      </c>
      <c r="D11" s="1">
        <v>3.9079999999999999</v>
      </c>
      <c r="E11" s="1">
        <v>4.2190000000000003</v>
      </c>
      <c r="F11" s="1">
        <v>3.976</v>
      </c>
      <c r="G11" s="1">
        <v>4.0590000000000002</v>
      </c>
      <c r="H11" s="1">
        <v>3.8279999999999998</v>
      </c>
      <c r="I11" s="1">
        <v>4.048</v>
      </c>
      <c r="J11" s="1">
        <v>3.9860000000000002</v>
      </c>
      <c r="K11" s="1">
        <v>4.1269999999999998</v>
      </c>
      <c r="L11" s="1">
        <f t="shared" si="1"/>
        <v>4.0193999999999992</v>
      </c>
      <c r="M11" s="1">
        <v>56.573999999999998</v>
      </c>
      <c r="N11" s="1">
        <v>5.2140000000000004</v>
      </c>
    </row>
    <row r="13" spans="1:14" x14ac:dyDescent="0.25">
      <c r="A13" t="s">
        <v>36</v>
      </c>
      <c r="B13" s="8" t="s">
        <v>39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4" x14ac:dyDescent="0.25">
      <c r="A14" t="s">
        <v>37</v>
      </c>
      <c r="B14" s="8" t="s">
        <v>38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</sheetData>
  <mergeCells count="2">
    <mergeCell ref="B13:M13"/>
    <mergeCell ref="B14:M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6545-628F-4A11-977A-9E31820275C8}">
  <dimension ref="A1:L29"/>
  <sheetViews>
    <sheetView workbookViewId="0">
      <selection activeCell="S30" sqref="S30"/>
    </sheetView>
  </sheetViews>
  <sheetFormatPr defaultRowHeight="15" x14ac:dyDescent="0.25"/>
  <sheetData>
    <row r="1" spans="1:12" x14ac:dyDescent="0.25">
      <c r="B1" s="3" t="s">
        <v>0</v>
      </c>
      <c r="C1" s="3" t="s">
        <v>1</v>
      </c>
      <c r="D1" s="3" t="s">
        <v>2</v>
      </c>
    </row>
    <row r="2" spans="1:12" x14ac:dyDescent="0.25">
      <c r="A2" s="3" t="s">
        <v>12</v>
      </c>
      <c r="B2" s="1">
        <f>L9</f>
        <v>26.324399999999997</v>
      </c>
      <c r="C2" s="1">
        <f>L10</f>
        <v>26.611700000000003</v>
      </c>
      <c r="D2" s="1">
        <f>L11</f>
        <v>110.23260000000001</v>
      </c>
    </row>
    <row r="3" spans="1:12" x14ac:dyDescent="0.25">
      <c r="A3" s="3" t="s">
        <v>13</v>
      </c>
      <c r="B3" s="1">
        <f>L15</f>
        <v>133.3544</v>
      </c>
      <c r="C3" s="1">
        <f>L16</f>
        <v>50.8934</v>
      </c>
      <c r="D3" s="1">
        <f>L17</f>
        <v>731.18219999999997</v>
      </c>
    </row>
    <row r="4" spans="1:12" x14ac:dyDescent="0.25">
      <c r="A4" s="3" t="s">
        <v>14</v>
      </c>
      <c r="B4" s="1">
        <f>L21</f>
        <v>13.138799999999998</v>
      </c>
      <c r="C4" s="1">
        <f>L22</f>
        <v>35.071199999999997</v>
      </c>
      <c r="D4" s="1">
        <f>L23</f>
        <v>108.37280000000001</v>
      </c>
    </row>
    <row r="5" spans="1:12" x14ac:dyDescent="0.25">
      <c r="A5" s="3" t="s">
        <v>15</v>
      </c>
      <c r="B5" s="1">
        <f>L27</f>
        <v>88.202000000000012</v>
      </c>
      <c r="C5" s="1">
        <f>L28</f>
        <v>167.40899999999996</v>
      </c>
      <c r="D5" s="1">
        <f>L29</f>
        <v>614.11620000000005</v>
      </c>
    </row>
    <row r="7" spans="1:12" x14ac:dyDescent="0.25">
      <c r="B7" s="9" t="s">
        <v>27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3" t="s">
        <v>8</v>
      </c>
      <c r="B8" s="1">
        <v>1</v>
      </c>
      <c r="C8" s="1">
        <v>2</v>
      </c>
      <c r="D8" s="1">
        <v>3</v>
      </c>
      <c r="E8" s="1">
        <v>4</v>
      </c>
      <c r="F8" s="1">
        <v>5</v>
      </c>
      <c r="G8" s="1">
        <v>6</v>
      </c>
      <c r="H8" s="1">
        <v>7</v>
      </c>
      <c r="I8" s="1">
        <v>8</v>
      </c>
      <c r="J8" s="1">
        <v>9</v>
      </c>
      <c r="K8" s="1">
        <v>10</v>
      </c>
      <c r="L8" s="1" t="s">
        <v>7</v>
      </c>
    </row>
    <row r="9" spans="1:12" x14ac:dyDescent="0.25">
      <c r="A9" s="3" t="s">
        <v>0</v>
      </c>
      <c r="B9" s="1">
        <v>36</v>
      </c>
      <c r="C9" s="1">
        <v>29.631</v>
      </c>
      <c r="D9">
        <v>18.791</v>
      </c>
      <c r="E9" s="1">
        <v>29.056999999999999</v>
      </c>
      <c r="F9" s="1">
        <v>28.928999999999998</v>
      </c>
      <c r="G9" s="1">
        <v>18.428000000000001</v>
      </c>
      <c r="H9" s="1">
        <v>17.420000000000002</v>
      </c>
      <c r="I9" s="2">
        <v>27.306000000000001</v>
      </c>
      <c r="J9" s="2">
        <v>27.988</v>
      </c>
      <c r="K9" s="2">
        <v>29.693999999999999</v>
      </c>
      <c r="L9" s="1">
        <f>AVERAGE(B9:K9)</f>
        <v>26.324399999999997</v>
      </c>
    </row>
    <row r="10" spans="1:12" x14ac:dyDescent="0.25">
      <c r="A10" s="3" t="s">
        <v>1</v>
      </c>
      <c r="B10" s="1">
        <v>39</v>
      </c>
      <c r="C10" s="1">
        <v>26.058</v>
      </c>
      <c r="D10" s="1">
        <v>24.521000000000001</v>
      </c>
      <c r="E10" s="1">
        <v>25.393999999999998</v>
      </c>
      <c r="F10" s="1">
        <v>24.667999999999999</v>
      </c>
      <c r="G10" s="1">
        <v>25.027000000000001</v>
      </c>
      <c r="H10" s="1">
        <v>24.248000000000001</v>
      </c>
      <c r="I10" s="1">
        <v>27.858000000000001</v>
      </c>
      <c r="J10" s="1">
        <v>25.13</v>
      </c>
      <c r="K10" s="1">
        <v>24.213000000000001</v>
      </c>
      <c r="L10" s="1">
        <f>AVERAGE(B10:K10)</f>
        <v>26.611700000000003</v>
      </c>
    </row>
    <row r="11" spans="1:12" x14ac:dyDescent="0.25">
      <c r="A11" s="3" t="s">
        <v>2</v>
      </c>
      <c r="B11" s="1">
        <v>113.36799999999999</v>
      </c>
      <c r="C11" s="1">
        <v>140.102</v>
      </c>
      <c r="D11" s="1">
        <v>42.460999999999999</v>
      </c>
      <c r="E11" s="1">
        <v>89.234999999999999</v>
      </c>
      <c r="F11" s="1">
        <v>142.15100000000001</v>
      </c>
      <c r="G11" s="1">
        <v>177.51400000000001</v>
      </c>
      <c r="H11" s="1">
        <v>57.78</v>
      </c>
      <c r="I11" s="1">
        <v>114.05800000000001</v>
      </c>
      <c r="J11" s="1">
        <v>121.05200000000001</v>
      </c>
      <c r="K11" s="1">
        <v>104.605</v>
      </c>
      <c r="L11" s="1">
        <f>AVERAGE(B11:K11)</f>
        <v>110.23260000000001</v>
      </c>
    </row>
    <row r="13" spans="1:12" x14ac:dyDescent="0.25">
      <c r="B13" s="9" t="s">
        <v>28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3" t="s">
        <v>8</v>
      </c>
      <c r="B14" s="1">
        <v>1</v>
      </c>
      <c r="C14" s="1">
        <v>2</v>
      </c>
      <c r="D14" s="1">
        <v>3</v>
      </c>
      <c r="E14" s="1">
        <v>4</v>
      </c>
      <c r="F14" s="1">
        <v>5</v>
      </c>
      <c r="G14" s="1">
        <v>6</v>
      </c>
      <c r="H14" s="1">
        <v>7</v>
      </c>
      <c r="I14" s="1">
        <v>8</v>
      </c>
      <c r="J14" s="1">
        <v>9</v>
      </c>
      <c r="K14" s="1">
        <v>10</v>
      </c>
      <c r="L14" s="1" t="s">
        <v>7</v>
      </c>
    </row>
    <row r="15" spans="1:12" x14ac:dyDescent="0.25">
      <c r="A15" s="3" t="s">
        <v>0</v>
      </c>
      <c r="B15" s="1">
        <v>183</v>
      </c>
      <c r="C15" s="1">
        <v>147.54400000000001</v>
      </c>
      <c r="D15" s="1">
        <v>87.25</v>
      </c>
      <c r="E15" s="1">
        <v>150.154</v>
      </c>
      <c r="F15" s="1">
        <v>153.619</v>
      </c>
      <c r="G15" s="1">
        <v>86.887</v>
      </c>
      <c r="H15" s="1">
        <v>85.766000000000005</v>
      </c>
      <c r="I15" s="2">
        <v>147.97900000000001</v>
      </c>
      <c r="J15" s="2">
        <v>146.07900000000001</v>
      </c>
      <c r="K15" s="2">
        <v>145.26599999999999</v>
      </c>
      <c r="L15" s="1">
        <f>AVERAGE(B15:K15)</f>
        <v>133.3544</v>
      </c>
    </row>
    <row r="16" spans="1:12" x14ac:dyDescent="0.25">
      <c r="A16" s="3" t="s">
        <v>1</v>
      </c>
      <c r="B16" s="1">
        <v>75</v>
      </c>
      <c r="C16" s="1">
        <v>47.259</v>
      </c>
      <c r="D16" s="1">
        <v>47.514000000000003</v>
      </c>
      <c r="E16" s="1">
        <v>48.078000000000003</v>
      </c>
      <c r="F16" s="1">
        <v>45.253</v>
      </c>
      <c r="G16" s="1">
        <v>48.841000000000001</v>
      </c>
      <c r="H16" s="1">
        <v>49.649000000000001</v>
      </c>
      <c r="I16" s="1">
        <v>51.773000000000003</v>
      </c>
      <c r="J16" s="1">
        <v>48.143000000000001</v>
      </c>
      <c r="K16" s="1">
        <v>47.423999999999999</v>
      </c>
      <c r="L16" s="1">
        <f>AVERAGE(B16:K16)</f>
        <v>50.8934</v>
      </c>
    </row>
    <row r="17" spans="1:12" x14ac:dyDescent="0.25">
      <c r="A17" s="3" t="s">
        <v>2</v>
      </c>
      <c r="B17" s="1">
        <v>716.524</v>
      </c>
      <c r="C17" s="1">
        <v>764.4</v>
      </c>
      <c r="D17" s="1">
        <v>616.178</v>
      </c>
      <c r="E17" s="1">
        <v>766.34900000000005</v>
      </c>
      <c r="F17" s="1">
        <v>755.65800000000002</v>
      </c>
      <c r="G17" s="1">
        <v>757.596</v>
      </c>
      <c r="H17" s="1">
        <v>748.79600000000005</v>
      </c>
      <c r="I17" s="1">
        <v>740.07100000000003</v>
      </c>
      <c r="J17" s="1">
        <v>743.64</v>
      </c>
      <c r="K17" s="1">
        <v>702.61</v>
      </c>
      <c r="L17" s="1">
        <f>AVERAGE(B17:K17)</f>
        <v>731.18219999999997</v>
      </c>
    </row>
    <row r="19" spans="1:12" x14ac:dyDescent="0.25">
      <c r="B19" s="9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3" t="s">
        <v>8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 t="s">
        <v>7</v>
      </c>
    </row>
    <row r="21" spans="1:12" x14ac:dyDescent="0.25">
      <c r="A21" s="3" t="s">
        <v>0</v>
      </c>
      <c r="B21" s="1">
        <v>10.135999999999999</v>
      </c>
      <c r="C21" s="1">
        <v>15.295999999999999</v>
      </c>
      <c r="D21" s="1">
        <v>9.2569999999999997</v>
      </c>
      <c r="E21" s="1">
        <v>14.686</v>
      </c>
      <c r="F21" s="1">
        <v>15.606</v>
      </c>
      <c r="G21" s="1">
        <v>9.6170000000000009</v>
      </c>
      <c r="H21" s="1">
        <v>9.7370000000000001</v>
      </c>
      <c r="I21" s="2">
        <v>15.529</v>
      </c>
      <c r="J21" s="2">
        <v>14.917999999999999</v>
      </c>
      <c r="K21" s="2">
        <v>16.606000000000002</v>
      </c>
      <c r="L21" s="1">
        <f>AVERAGE(B21:K21)</f>
        <v>13.138799999999998</v>
      </c>
    </row>
    <row r="22" spans="1:12" x14ac:dyDescent="0.25">
      <c r="A22" s="3" t="s">
        <v>1</v>
      </c>
      <c r="B22" s="1">
        <v>29.62</v>
      </c>
      <c r="C22" s="1">
        <v>35.389000000000003</v>
      </c>
      <c r="D22" s="1">
        <v>38.695</v>
      </c>
      <c r="E22" s="1">
        <v>34.912999999999997</v>
      </c>
      <c r="F22" s="1">
        <v>38.325000000000003</v>
      </c>
      <c r="G22" s="1">
        <v>33.274999999999999</v>
      </c>
      <c r="H22" s="1">
        <v>35.993000000000002</v>
      </c>
      <c r="I22" s="1">
        <v>33.753999999999998</v>
      </c>
      <c r="J22" s="1">
        <v>36.777999999999999</v>
      </c>
      <c r="K22" s="1">
        <v>33.97</v>
      </c>
      <c r="L22" s="1">
        <f>AVERAGE(B22:K22)</f>
        <v>35.071199999999997</v>
      </c>
    </row>
    <row r="23" spans="1:12" x14ac:dyDescent="0.25">
      <c r="A23" s="3" t="s">
        <v>2</v>
      </c>
      <c r="B23" s="1">
        <v>117.803</v>
      </c>
      <c r="C23" s="1">
        <v>104.125</v>
      </c>
      <c r="D23" s="1">
        <v>80.650999999999996</v>
      </c>
      <c r="E23" s="1">
        <v>89.963999999999999</v>
      </c>
      <c r="F23" s="1">
        <v>126.736</v>
      </c>
      <c r="G23" s="1">
        <v>87.064999999999998</v>
      </c>
      <c r="H23" s="1">
        <v>120.006</v>
      </c>
      <c r="I23" s="1">
        <v>120.53400000000001</v>
      </c>
      <c r="J23" s="1">
        <v>121.527</v>
      </c>
      <c r="K23" s="1">
        <v>115.31699999999999</v>
      </c>
      <c r="L23" s="1">
        <f>AVERAGE(B23:K23)</f>
        <v>108.37280000000001</v>
      </c>
    </row>
    <row r="25" spans="1:12" x14ac:dyDescent="0.25">
      <c r="B25" s="9" t="s">
        <v>30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3" t="s">
        <v>8</v>
      </c>
      <c r="B26" s="1">
        <v>1</v>
      </c>
      <c r="C26" s="1">
        <v>2</v>
      </c>
      <c r="D26" s="1">
        <v>3</v>
      </c>
      <c r="E26" s="1">
        <v>4</v>
      </c>
      <c r="F26" s="1">
        <v>5</v>
      </c>
      <c r="G26" s="1">
        <v>6</v>
      </c>
      <c r="H26" s="1">
        <v>7</v>
      </c>
      <c r="I26" s="1">
        <v>8</v>
      </c>
      <c r="J26" s="1">
        <v>9</v>
      </c>
      <c r="K26" s="1">
        <v>10</v>
      </c>
      <c r="L26" s="1" t="s">
        <v>7</v>
      </c>
    </row>
    <row r="27" spans="1:12" x14ac:dyDescent="0.25">
      <c r="A27" s="3" t="s">
        <v>0</v>
      </c>
      <c r="B27" s="1">
        <v>51.536999999999999</v>
      </c>
      <c r="C27" s="1">
        <v>108.20399999999999</v>
      </c>
      <c r="D27" s="1">
        <v>62.531999999999996</v>
      </c>
      <c r="E27" s="1">
        <v>108.259</v>
      </c>
      <c r="F27" s="1">
        <v>110.886</v>
      </c>
      <c r="G27" s="1">
        <v>63.735999999999997</v>
      </c>
      <c r="H27" s="1">
        <v>62.685000000000002</v>
      </c>
      <c r="I27" s="2">
        <v>104.099</v>
      </c>
      <c r="J27" s="2">
        <v>100.56</v>
      </c>
      <c r="K27" s="2">
        <v>109.52200000000001</v>
      </c>
      <c r="L27" s="1">
        <f>AVERAGE(B27:K27)</f>
        <v>88.202000000000012</v>
      </c>
    </row>
    <row r="28" spans="1:12" x14ac:dyDescent="0.25">
      <c r="A28" s="3" t="s">
        <v>1</v>
      </c>
      <c r="B28" s="1">
        <v>147.721</v>
      </c>
      <c r="C28" s="6">
        <v>158.97300000000001</v>
      </c>
      <c r="D28" s="1">
        <v>165.31800000000001</v>
      </c>
      <c r="E28" s="1">
        <v>195.46299999999999</v>
      </c>
      <c r="F28" s="1">
        <v>168.44900000000001</v>
      </c>
      <c r="G28" s="1">
        <v>168.05799999999999</v>
      </c>
      <c r="H28" s="1">
        <v>172.678</v>
      </c>
      <c r="I28" s="1">
        <v>177.273</v>
      </c>
      <c r="J28" s="1">
        <v>174.452</v>
      </c>
      <c r="K28" s="1">
        <v>145.70500000000001</v>
      </c>
      <c r="L28" s="1">
        <f>AVERAGE(B28:K28)</f>
        <v>167.40899999999996</v>
      </c>
    </row>
    <row r="29" spans="1:12" x14ac:dyDescent="0.25">
      <c r="A29" s="3" t="s">
        <v>2</v>
      </c>
      <c r="B29" s="1">
        <v>587.71199999999999</v>
      </c>
      <c r="C29" s="1">
        <v>676.85299999999995</v>
      </c>
      <c r="D29" s="1">
        <v>472.33600000000001</v>
      </c>
      <c r="E29" s="1">
        <v>490.07400000000001</v>
      </c>
      <c r="F29" s="1">
        <v>740.62699999999995</v>
      </c>
      <c r="G29" s="1">
        <v>512.08500000000004</v>
      </c>
      <c r="H29" s="1">
        <v>667.59</v>
      </c>
      <c r="I29" s="1">
        <v>665.35799999999995</v>
      </c>
      <c r="J29" s="1">
        <v>665.87</v>
      </c>
      <c r="K29" s="1">
        <v>662.65700000000004</v>
      </c>
      <c r="L29" s="1">
        <f>AVERAGE(B29:K29)</f>
        <v>614.11620000000005</v>
      </c>
    </row>
  </sheetData>
  <mergeCells count="4">
    <mergeCell ref="B7:L7"/>
    <mergeCell ref="B13:L13"/>
    <mergeCell ref="B19:L19"/>
    <mergeCell ref="B25:L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performance</vt:lpstr>
      <vt:lpstr>properties</vt:lpstr>
      <vt:lpstr>insert-delete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Gaja</dc:creator>
  <cp:lastModifiedBy>Jan Gaja</cp:lastModifiedBy>
  <dcterms:created xsi:type="dcterms:W3CDTF">2024-02-26T08:20:41Z</dcterms:created>
  <dcterms:modified xsi:type="dcterms:W3CDTF">2024-04-03T14:55:35Z</dcterms:modified>
</cp:coreProperties>
</file>